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ales_Data" sheetId="2" state="visible" r:id="rId2"/>
    <sheet xmlns:r="http://schemas.openxmlformats.org/officeDocument/2006/relationships" name="T6_Filtered_View" sheetId="3" state="visible" r:id="rId3"/>
    <sheet xmlns:r="http://schemas.openxmlformats.org/officeDocument/2006/relationships" name="T7_Cond_Format_Functions" sheetId="4" state="visible" r:id="rId4"/>
    <sheet xmlns:r="http://schemas.openxmlformats.org/officeDocument/2006/relationships" name="T8_VLOOKUP_XLOOKUP" sheetId="5" state="visible" r:id="rId5"/>
    <sheet xmlns:r="http://schemas.openxmlformats.org/officeDocument/2006/relationships" name="T9_Pivot_Chart" sheetId="6" state="visible" r:id="rId6"/>
    <sheet xmlns:r="http://schemas.openxmlformats.org/officeDocument/2006/relationships" name="Product_Master" sheetId="7" state="visible" r:id="rId7"/>
  </sheets>
  <definedNames>
    <definedName name="_xlnm._FilterDatabase" localSheetId="1" hidden="1">'Sales_Data'!$A$1:$O$121</definedName>
    <definedName name="_xlnm._FilterDatabase" localSheetId="2" hidden="1">'T6_Filtered_View'!$A$1:$O$121</definedName>
  </definedNames>
  <calcPr calcId="124519" fullCalcOnLoad="1"/>
</workbook>
</file>

<file path=xl/styles.xml><?xml version="1.0" encoding="utf-8"?>
<styleSheet xmlns="http://schemas.openxmlformats.org/spreadsheetml/2006/main">
  <numFmts count="6">
    <numFmt numFmtId="164" formatCode="yyyy-mm-dd"/>
    <numFmt numFmtId="165" formatCode="dd-mmm-yyyy"/>
    <numFmt numFmtId="166" formatCode="$#,##0.00"/>
    <numFmt numFmtId="167" formatCode="$#,##0.00;[Red]($#,##0.00)"/>
    <numFmt numFmtId="168" formatCode="$#,##0"/>
    <numFmt numFmtId="169" formatCode="0.0%"/>
  </numFmts>
  <fonts count="8">
    <font>
      <name val="Calibri"/>
      <family val="2"/>
      <color theme="1"/>
      <sz val="11"/>
      <scheme val="minor"/>
    </font>
    <font>
      <name val="Arial"/>
      <b val="1"/>
      <color rgb="00FFFFFF"/>
      <sz val="10"/>
    </font>
    <font>
      <name val="Arial"/>
      <color rgb="00000000"/>
      <sz val="10"/>
    </font>
    <font>
      <name val="Arial"/>
      <b val="1"/>
      <color rgb="00000000"/>
      <sz val="10"/>
    </font>
    <font>
      <name val="Arial"/>
      <i val="1"/>
      <color rgb="00000000"/>
      <sz val="9"/>
    </font>
    <font>
      <name val="Arial"/>
      <b val="1"/>
      <color rgb="001F4E78"/>
      <sz val="14"/>
    </font>
    <font>
      <name val="Arial"/>
      <i val="1"/>
      <color rgb="00000000"/>
      <sz val="10"/>
    </font>
    <font>
      <name val="Arial"/>
      <b val="1"/>
      <color rgb="001F4E78"/>
      <sz val="11"/>
    </font>
  </fonts>
  <fills count="5">
    <fill>
      <patternFill/>
    </fill>
    <fill>
      <patternFill patternType="gray125"/>
    </fill>
    <fill>
      <patternFill patternType="solid">
        <fgColor rgb="001F4E78"/>
      </patternFill>
    </fill>
    <fill>
      <patternFill patternType="solid">
        <fgColor rgb="00F2F2F2"/>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6">
    <xf numFmtId="0" fontId="0" fillId="0" borderId="0" pivotButton="0" quotePrefix="0" xfId="0"/>
    <xf numFmtId="0" fontId="5" fillId="0" borderId="0" applyAlignment="1" pivotButton="0" quotePrefix="0" xfId="0">
      <alignment vertical="center"/>
    </xf>
    <xf numFmtId="0" fontId="7" fillId="0" borderId="0" applyAlignment="1" pivotButton="0" quotePrefix="0" xfId="0">
      <alignment vertical="center"/>
    </xf>
    <xf numFmtId="0" fontId="2" fillId="0" borderId="0" applyAlignment="1" pivotButton="0" quotePrefix="0" xfId="0">
      <alignment vertical="top" wrapText="1"/>
    </xf>
    <xf numFmtId="0" fontId="1" fillId="2" borderId="1" applyAlignment="1" pivotButton="0" quotePrefix="0" xfId="0">
      <alignment horizontal="center" vertical="center" wrapText="1"/>
    </xf>
    <xf numFmtId="0" fontId="3" fillId="0" borderId="1" applyAlignment="1" pivotButton="0" quotePrefix="0" xfId="0">
      <alignment vertical="center"/>
    </xf>
    <xf numFmtId="0" fontId="2" fillId="0" borderId="1" applyAlignment="1" pivotButton="0" quotePrefix="0" xfId="0">
      <alignment horizontal="center" vertical="center"/>
    </xf>
    <xf numFmtId="0" fontId="2" fillId="0" borderId="1" applyAlignment="1" pivotButton="0" quotePrefix="0" xfId="0">
      <alignment vertical="center" wrapText="1"/>
    </xf>
    <xf numFmtId="0" fontId="2" fillId="0" borderId="0" applyAlignment="1" pivotButton="0" quotePrefix="0" xfId="0">
      <alignment vertical="center"/>
    </xf>
    <xf numFmtId="0" fontId="2" fillId="0" borderId="1" pivotButton="0" quotePrefix="0" xfId="0"/>
    <xf numFmtId="165" fontId="2" fillId="0" borderId="1" applyAlignment="1" pivotButton="0" quotePrefix="0" xfId="0">
      <alignment horizontal="center"/>
    </xf>
    <xf numFmtId="166" fontId="2" fillId="0" borderId="1" pivotButton="0" quotePrefix="0" xfId="0"/>
    <xf numFmtId="1" fontId="2" fillId="0" borderId="1" applyAlignment="1" pivotButton="0" quotePrefix="0" xfId="0">
      <alignment horizontal="center"/>
    </xf>
    <xf numFmtId="9" fontId="2" fillId="0" borderId="1" applyAlignment="1" pivotButton="0" quotePrefix="0" xfId="0">
      <alignment horizontal="center"/>
    </xf>
    <xf numFmtId="167" fontId="2" fillId="0" borderId="1" pivotButton="0" quotePrefix="0" xfId="0"/>
    <xf numFmtId="0" fontId="3" fillId="0" borderId="0" applyAlignment="1" pivotButton="0" quotePrefix="0" xfId="0">
      <alignment vertical="center"/>
    </xf>
    <xf numFmtId="0" fontId="2" fillId="0" borderId="0" applyAlignment="1" pivotButton="0" quotePrefix="0" xfId="0">
      <alignment vertical="center" wrapText="1"/>
    </xf>
    <xf numFmtId="0" fontId="6" fillId="0" borderId="0" applyAlignment="1" pivotButton="0" quotePrefix="0" xfId="0">
      <alignment vertical="center"/>
    </xf>
    <xf numFmtId="0" fontId="1" fillId="2" borderId="1" applyAlignment="1" pivotButton="0" quotePrefix="0" xfId="0">
      <alignment horizontal="center" vertical="center"/>
    </xf>
    <xf numFmtId="0" fontId="3" fillId="0" borderId="1" applyAlignment="1" pivotButton="0" quotePrefix="0" xfId="0">
      <alignment horizontal="center" vertical="center"/>
    </xf>
    <xf numFmtId="168" fontId="2" fillId="0" borderId="1" applyAlignment="1" pivotButton="0" quotePrefix="0" xfId="0">
      <alignment horizontal="center" vertical="center" wrapText="1"/>
    </xf>
    <xf numFmtId="1" fontId="2" fillId="0" borderId="1" applyAlignment="1" pivotButton="0" quotePrefix="0" xfId="0">
      <alignment horizontal="center" vertical="center" wrapText="1"/>
    </xf>
    <xf numFmtId="166" fontId="2" fillId="0" borderId="1" applyAlignment="1" pivotButton="0" quotePrefix="0" xfId="0">
      <alignment horizontal="center" vertical="center" wrapText="1"/>
    </xf>
    <xf numFmtId="167" fontId="2" fillId="0" borderId="1" applyAlignment="1" pivotButton="0" quotePrefix="0" xfId="0">
      <alignment horizontal="center" vertical="center" wrapText="1"/>
    </xf>
    <xf numFmtId="0" fontId="2" fillId="0" borderId="1" applyAlignment="1" pivotButton="0" quotePrefix="0" xfId="0">
      <alignment vertical="center"/>
    </xf>
    <xf numFmtId="1" fontId="2" fillId="0" borderId="1" applyAlignment="1" pivotButton="0" quotePrefix="0" xfId="0">
      <alignment horizontal="center" vertical="center"/>
    </xf>
    <xf numFmtId="166" fontId="2" fillId="0" borderId="1" applyAlignment="1" pivotButton="0" quotePrefix="0" xfId="0">
      <alignment vertical="center"/>
    </xf>
    <xf numFmtId="167" fontId="2" fillId="0" borderId="1" applyAlignment="1" pivotButton="0" quotePrefix="0" xfId="0">
      <alignment vertical="center"/>
    </xf>
    <xf numFmtId="0" fontId="3" fillId="3" borderId="1" applyAlignment="1" pivotButton="0" quotePrefix="0" xfId="0">
      <alignment vertical="center"/>
    </xf>
    <xf numFmtId="1" fontId="3" fillId="3" borderId="1" applyAlignment="1" pivotButton="0" quotePrefix="0" xfId="0">
      <alignment horizontal="center" vertical="center"/>
    </xf>
    <xf numFmtId="166" fontId="3" fillId="3" borderId="1" applyAlignment="1" pivotButton="0" quotePrefix="0" xfId="0">
      <alignment vertical="center"/>
    </xf>
    <xf numFmtId="167" fontId="3" fillId="3" borderId="1" applyAlignment="1" pivotButton="0" quotePrefix="0" xfId="0">
      <alignment vertical="center"/>
    </xf>
    <xf numFmtId="0" fontId="3" fillId="3" borderId="1" applyAlignment="1" pivotButton="0" quotePrefix="0" xfId="0">
      <alignment horizontal="center" vertical="center"/>
    </xf>
    <xf numFmtId="166" fontId="2" fillId="0" borderId="1" applyAlignment="1" pivotButton="0" quotePrefix="0" xfId="0">
      <alignment horizontal="right" vertical="center"/>
    </xf>
    <xf numFmtId="0" fontId="2" fillId="4" borderId="1" applyAlignment="1" pivotButton="0" quotePrefix="0" xfId="0">
      <alignment horizontal="center" vertical="center"/>
    </xf>
    <xf numFmtId="0" fontId="4" fillId="0" borderId="0" applyAlignment="1" pivotButton="0" quotePrefix="0" xfId="0">
      <alignment vertical="center"/>
    </xf>
    <xf numFmtId="0" fontId="2" fillId="4" borderId="1" applyAlignment="1" pivotButton="0" quotePrefix="0" xfId="0">
      <alignment vertical="center"/>
    </xf>
    <xf numFmtId="0" fontId="0" fillId="0" borderId="4" pivotButton="0" quotePrefix="0" xfId="0"/>
    <xf numFmtId="0" fontId="0" fillId="0" borderId="5" pivotButton="0" quotePrefix="0" xfId="0"/>
    <xf numFmtId="0" fontId="3" fillId="0" borderId="1" applyAlignment="1" pivotButton="0" quotePrefix="0" xfId="0">
      <alignment vertical="center" wrapText="1"/>
    </xf>
    <xf numFmtId="168" fontId="2" fillId="0" borderId="1" applyAlignment="1" pivotButton="0" quotePrefix="0" xfId="0">
      <alignment vertical="center"/>
    </xf>
    <xf numFmtId="168" fontId="3" fillId="0" borderId="1" applyAlignment="1" pivotButton="0" quotePrefix="0" xfId="0">
      <alignment vertical="center"/>
    </xf>
    <xf numFmtId="168" fontId="3" fillId="3" borderId="1" applyAlignment="1" pivotButton="0" quotePrefix="0" xfId="0">
      <alignment vertical="center"/>
    </xf>
    <xf numFmtId="169" fontId="2" fillId="0" borderId="1" applyAlignment="1" pivotButton="0" quotePrefix="0" xfId="0">
      <alignment horizontal="center" vertical="center"/>
    </xf>
    <xf numFmtId="169" fontId="3" fillId="3" borderId="1" applyAlignment="1" pivotButton="0" quotePrefix="0" xfId="0">
      <alignment horizontal="center" vertical="center"/>
    </xf>
    <xf numFmtId="0" fontId="2" fillId="0" borderId="1" applyAlignment="1" pivotButton="0" quotePrefix="0" xfId="0">
      <alignment vertical="top" wrapText="1"/>
    </xf>
  </cellXfs>
  <cellStyles count="1">
    <cellStyle name="Normal" xfId="0" builtinId="0" hidden="0"/>
  </cellStyles>
  <dxfs count="3">
    <dxf>
      <font>
        <name val="Arial"/>
        <color rgb="009C0006"/>
      </font>
      <fill>
        <patternFill patternType="solid">
          <fgColor rgb="00FFC7CE"/>
        </patternFill>
      </fill>
    </dxf>
    <dxf>
      <font>
        <name val="Arial"/>
        <color rgb="00006100"/>
      </font>
      <fill>
        <patternFill patternType="solid">
          <fgColor rgb="00C6EFCE"/>
        </patternFill>
      </fill>
    </dxf>
    <dxf>
      <font>
        <name val="Arial"/>
        <color rgb="009C5700"/>
      </font>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Sales by Category and Region</a:t>
            </a:r>
          </a:p>
        </rich>
      </tx>
    </title>
    <plotArea>
      <barChart>
        <barDir val="col"/>
        <grouping val="clustered"/>
        <ser>
          <idx val="0"/>
          <order val="0"/>
          <tx>
            <strRef>
              <f>'T9_Pivot_Chart'!B5</f>
            </strRef>
          </tx>
          <spPr>
            <a:ln xmlns:a="http://schemas.openxmlformats.org/drawingml/2006/main">
              <a:prstDash val="solid"/>
            </a:ln>
          </spPr>
          <cat>
            <numRef>
              <f>'T9_Pivot_Chart'!$A$6:$A$8</f>
            </numRef>
          </cat>
          <val>
            <numRef>
              <f>'T9_Pivot_Chart'!$B$6:$B$8</f>
            </numRef>
          </val>
        </ser>
        <ser>
          <idx val="1"/>
          <order val="1"/>
          <tx>
            <strRef>
              <f>'T9_Pivot_Chart'!C5</f>
            </strRef>
          </tx>
          <spPr>
            <a:ln xmlns:a="http://schemas.openxmlformats.org/drawingml/2006/main">
              <a:prstDash val="solid"/>
            </a:ln>
          </spPr>
          <cat>
            <numRef>
              <f>'T9_Pivot_Chart'!$A$6:$A$8</f>
            </numRef>
          </cat>
          <val>
            <numRef>
              <f>'T9_Pivot_Chart'!$C$6:$C$8</f>
            </numRef>
          </val>
        </ser>
        <ser>
          <idx val="2"/>
          <order val="2"/>
          <tx>
            <strRef>
              <f>'T9_Pivot_Chart'!D5</f>
            </strRef>
          </tx>
          <spPr>
            <a:ln xmlns:a="http://schemas.openxmlformats.org/drawingml/2006/main">
              <a:prstDash val="solid"/>
            </a:ln>
          </spPr>
          <cat>
            <numRef>
              <f>'T9_Pivot_Chart'!$A$6:$A$8</f>
            </numRef>
          </cat>
          <val>
            <numRef>
              <f>'T9_Pivot_Chart'!$D$6:$D$8</f>
            </numRef>
          </val>
        </ser>
        <ser>
          <idx val="3"/>
          <order val="3"/>
          <tx>
            <strRef>
              <f>'T9_Pivot_Chart'!E5</f>
            </strRef>
          </tx>
          <spPr>
            <a:ln xmlns:a="http://schemas.openxmlformats.org/drawingml/2006/main">
              <a:prstDash val="solid"/>
            </a:ln>
          </spPr>
          <cat>
            <numRef>
              <f>'T9_Pivot_Chart'!$A$6:$A$8</f>
            </numRef>
          </cat>
          <val>
            <numRef>
              <f>'T9_Pivot_Chart'!$E$6:$E$8</f>
            </numRef>
          </val>
        </ser>
        <ser>
          <idx val="4"/>
          <order val="4"/>
          <tx>
            <strRef>
              <f>'T9_Pivot_Chart'!F5</f>
            </strRef>
          </tx>
          <spPr>
            <a:ln xmlns:a="http://schemas.openxmlformats.org/drawingml/2006/main">
              <a:prstDash val="solid"/>
            </a:ln>
          </spPr>
          <cat>
            <numRef>
              <f>'T9_Pivot_Chart'!$A$6:$A$8</f>
            </numRef>
          </cat>
          <val>
            <numRef>
              <f>'T9_Pivot_Chart'!$F$6:$F$8</f>
            </numRef>
          </val>
        </ser>
        <gapWidth val="150"/>
        <axId val="10"/>
        <axId val="100"/>
      </barChart>
      <catAx>
        <axId val="10"/>
        <scaling>
          <orientation val="minMax"/>
        </scaling>
        <delete val="0"/>
        <axPos val="l"/>
        <title>
          <tx>
            <rich>
              <a:bodyPr xmlns:a="http://schemas.openxmlformats.org/drawingml/2006/main"/>
              <a:p xmlns:a="http://schemas.openxmlformats.org/drawingml/2006/main">
                <a:pPr>
                  <a:defRPr/>
                </a:pPr>
                <a:r>
                  <a:t>Category</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Sales (USD)</a:t>
                </a:r>
              </a:p>
            </rich>
          </tx>
        </title>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3</row>
      <rowOff>0</rowOff>
    </from>
    <ext cx="68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C18"/>
  <sheetViews>
    <sheetView workbookViewId="0">
      <selection activeCell="A1" sqref="A1"/>
    </sheetView>
  </sheetViews>
  <sheetFormatPr baseColWidth="8" defaultRowHeight="15"/>
  <cols>
    <col width="28" customWidth="1" min="1" max="1"/>
    <col width="10" customWidth="1" min="2" max="2"/>
    <col width="100" customWidth="1" min="3" max="3"/>
  </cols>
  <sheetData>
    <row r="1">
      <c r="A1" s="1" t="inlineStr">
        <is>
          <t>Excel Assignment: Tasks 6 to 9</t>
        </is>
      </c>
    </row>
    <row r="3">
      <c r="A3" s="2" t="inlineStr">
        <is>
          <t>About the dataset</t>
        </is>
      </c>
    </row>
    <row r="4" ht="62" customHeight="1">
      <c r="A4" s="3" t="inlineStr">
        <is>
          <t>Sales_Data holds 120 sample sales orders in the same column layout as the Global Superstore dataset. The original course file was not available when this workbook was built, so the sample was created for it. If the assignment requires the original file, paste its rows into Sales_Data in the same column order. Formulas on T7, T8 and T9 point to rows 2 to 121.</t>
        </is>
      </c>
    </row>
    <row r="6">
      <c r="A6" s="2" t="inlineStr">
        <is>
          <t>Sheet guide</t>
        </is>
      </c>
    </row>
    <row r="7" ht="30" customHeight="1">
      <c r="A7" s="4" t="inlineStr">
        <is>
          <t>Sheet</t>
        </is>
      </c>
      <c r="B7" s="4" t="inlineStr">
        <is>
          <t>Task</t>
        </is>
      </c>
      <c r="C7" s="4" t="inlineStr">
        <is>
          <t>What it contains</t>
        </is>
      </c>
    </row>
    <row r="8" ht="30" customHeight="1">
      <c r="A8" s="5" t="inlineStr">
        <is>
          <t>Sales_Data</t>
        </is>
      </c>
      <c r="B8" s="6" t="inlineStr">
        <is>
          <t>6 and 7</t>
        </is>
      </c>
      <c r="C8" s="7" t="inlineStr">
        <is>
          <t>Formatted, sorted dataset with headers, AutoFilter and freeze panes. Conditional formatting (Task 7) is applied here.</t>
        </is>
      </c>
    </row>
    <row r="9" ht="30" customHeight="1">
      <c r="A9" s="5" t="inlineStr">
        <is>
          <t>T6_Filtered_View</t>
        </is>
      </c>
      <c r="B9" s="6" t="inlineStr">
        <is>
          <t>6</t>
        </is>
      </c>
      <c r="C9" s="7" t="inlineStr">
        <is>
          <t>The same records with a filter applied (Region = West and Category = Technology). Non-matching rows are hidden, not deleted.</t>
        </is>
      </c>
    </row>
    <row r="10" ht="30" customHeight="1">
      <c r="A10" s="5" t="inlineStr">
        <is>
          <t>T7_Cond_Format_Functions</t>
        </is>
      </c>
      <c r="B10" s="6" t="inlineStr">
        <is>
          <t>7</t>
        </is>
      </c>
      <c r="C10" s="7" t="inlineStr">
        <is>
          <t>Conditional formatting rules, plus IF, COUNTIF and SUMIF formulas with explanations.</t>
        </is>
      </c>
    </row>
    <row r="11" ht="30" customHeight="1">
      <c r="A11" s="5" t="inlineStr">
        <is>
          <t>T8_VLOOKUP_XLOOKUP</t>
        </is>
      </c>
      <c r="B11" s="6" t="inlineStr">
        <is>
          <t>8</t>
        </is>
      </c>
      <c r="C11" s="7" t="inlineStr">
        <is>
          <t>VLOOKUP and XLOOKUP side by side, a reverse lookup, and a comparison table.</t>
        </is>
      </c>
    </row>
    <row r="12" ht="30" customHeight="1">
      <c r="A12" s="5" t="inlineStr">
        <is>
          <t>T9_Pivot_Chart</t>
        </is>
      </c>
      <c r="B12" s="6" t="inlineStr">
        <is>
          <t>9</t>
        </is>
      </c>
      <c r="C12" s="7" t="inlineStr">
        <is>
          <t>Pivot-style summary built with SUMIFS, a clustered column chart and an explanation of the chart.</t>
        </is>
      </c>
    </row>
    <row r="13" ht="30" customHeight="1">
      <c r="A13" s="5" t="inlineStr">
        <is>
          <t>Product_Master</t>
        </is>
      </c>
      <c r="B13" s="6" t="inlineStr">
        <is>
          <t>8</t>
        </is>
      </c>
      <c r="C13" s="7" t="inlineStr">
        <is>
          <t>Second related table, keyed by Product ID.</t>
        </is>
      </c>
    </row>
    <row r="15">
      <c r="A15" s="2" t="inlineStr">
        <is>
          <t>Notes</t>
        </is>
      </c>
    </row>
    <row r="16">
      <c r="A16" s="8" t="inlineStr">
        <is>
          <t>Yellow cells are inputs you can change.</t>
        </is>
      </c>
    </row>
    <row r="17">
      <c r="A17" s="8" t="inlineStr">
        <is>
          <t>XLOOKUP needs Excel 2021, Excel 365 or Google Sheets. In older Excel versions, use the INDEX/MATCH row in T8 Part B.</t>
        </is>
      </c>
    </row>
    <row r="18">
      <c r="A18" s="8" t="inlineStr">
        <is>
          <t>The workbook recalculates when it opens. If any value shows as blank, press Ctrl+Alt+F9.</t>
        </is>
      </c>
    </row>
  </sheetData>
  <mergeCells count="1">
    <mergeCell ref="A4:C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O12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6" customWidth="1" min="3" max="3"/>
    <col width="13" customWidth="1" min="4" max="4"/>
    <col width="20" customWidth="1" min="5" max="5"/>
    <col width="14" customWidth="1" min="6" max="6"/>
    <col width="10" customWidth="1" min="7" max="7"/>
    <col width="13" customWidth="1" min="8" max="8"/>
    <col width="17" customWidth="1" min="9" max="9"/>
    <col width="14" customWidth="1" min="10" max="10"/>
    <col width="13" customWidth="1" min="11" max="11"/>
    <col width="10" customWidth="1" min="12" max="12"/>
    <col width="11" customWidth="1" min="13" max="13"/>
    <col width="14" customWidth="1" min="14" max="14"/>
    <col width="12" customWidth="1" min="15" max="15"/>
  </cols>
  <sheetData>
    <row r="1" ht="30" customHeight="1">
      <c r="A1" s="4" t="inlineStr">
        <is>
          <t>Order ID</t>
        </is>
      </c>
      <c r="B1" s="4" t="inlineStr">
        <is>
          <t>Order Date</t>
        </is>
      </c>
      <c r="C1" s="4" t="inlineStr">
        <is>
          <t>Ship Mode</t>
        </is>
      </c>
      <c r="D1" s="4" t="inlineStr">
        <is>
          <t>Customer ID</t>
        </is>
      </c>
      <c r="E1" s="4" t="inlineStr">
        <is>
          <t>Customer Name</t>
        </is>
      </c>
      <c r="F1" s="4" t="inlineStr">
        <is>
          <t>Segment</t>
        </is>
      </c>
      <c r="G1" s="4" t="inlineStr">
        <is>
          <t>Region</t>
        </is>
      </c>
      <c r="H1" s="4" t="inlineStr">
        <is>
          <t>Product ID</t>
        </is>
      </c>
      <c r="I1" s="4" t="inlineStr">
        <is>
          <t>Category</t>
        </is>
      </c>
      <c r="J1" s="4" t="inlineStr">
        <is>
          <t>Sub-Category</t>
        </is>
      </c>
      <c r="K1" s="4" t="inlineStr">
        <is>
          <t>Sales</t>
        </is>
      </c>
      <c r="L1" s="4" t="inlineStr">
        <is>
          <t>Quantity</t>
        </is>
      </c>
      <c r="M1" s="4" t="inlineStr">
        <is>
          <t>Discount</t>
        </is>
      </c>
      <c r="N1" s="4" t="inlineStr">
        <is>
          <t>Profit</t>
        </is>
      </c>
      <c r="O1" s="4" t="inlineStr">
        <is>
          <t>Loss Flag</t>
        </is>
      </c>
    </row>
    <row r="2">
      <c r="A2" s="9" t="inlineStr">
        <is>
          <t>ORD-2016-0001</t>
        </is>
      </c>
      <c r="B2" s="10" t="n">
        <v>42374</v>
      </c>
      <c r="C2" s="9" t="inlineStr">
        <is>
          <t>Second Class</t>
        </is>
      </c>
      <c r="D2" s="9" t="inlineStr">
        <is>
          <t>CU-1001</t>
        </is>
      </c>
      <c r="E2" s="9" t="inlineStr">
        <is>
          <t>Aarav Mehta</t>
        </is>
      </c>
      <c r="F2" s="9" t="inlineStr">
        <is>
          <t>Consumer</t>
        </is>
      </c>
      <c r="G2" s="9" t="inlineStr">
        <is>
          <t>West</t>
        </is>
      </c>
      <c r="H2" s="9" t="inlineStr">
        <is>
          <t>OFS-PA-01</t>
        </is>
      </c>
      <c r="I2" s="9" t="inlineStr">
        <is>
          <t>Office Supplies</t>
        </is>
      </c>
      <c r="J2" s="9" t="inlineStr">
        <is>
          <t>Paper</t>
        </is>
      </c>
      <c r="K2" s="11" t="n">
        <v>48</v>
      </c>
      <c r="L2" s="12" t="n">
        <v>5</v>
      </c>
      <c r="M2" s="13" t="n">
        <v>0</v>
      </c>
      <c r="N2" s="14" t="n">
        <v>8.42</v>
      </c>
      <c r="O2" s="9">
        <f>IF(N2&lt;0,"Loss","Profit")</f>
        <v/>
      </c>
    </row>
    <row r="3">
      <c r="A3" s="9" t="inlineStr">
        <is>
          <t>ORD-2016-0002</t>
        </is>
      </c>
      <c r="B3" s="10" t="n">
        <v>42374</v>
      </c>
      <c r="C3" s="9" t="inlineStr">
        <is>
          <t>Second Class</t>
        </is>
      </c>
      <c r="D3" s="9" t="inlineStr">
        <is>
          <t>CU-1014</t>
        </is>
      </c>
      <c r="E3" s="9" t="inlineStr">
        <is>
          <t>Myra Chawla</t>
        </is>
      </c>
      <c r="F3" s="9" t="inlineStr">
        <is>
          <t>Home Office</t>
        </is>
      </c>
      <c r="G3" s="9" t="inlineStr">
        <is>
          <t>West</t>
        </is>
      </c>
      <c r="H3" s="9" t="inlineStr">
        <is>
          <t>OFS-ST-02</t>
        </is>
      </c>
      <c r="I3" s="9" t="inlineStr">
        <is>
          <t>Office Supplies</t>
        </is>
      </c>
      <c r="J3" s="9" t="inlineStr">
        <is>
          <t>Storage</t>
        </is>
      </c>
      <c r="K3" s="11" t="n">
        <v>103.14</v>
      </c>
      <c r="L3" s="12" t="n">
        <v>3</v>
      </c>
      <c r="M3" s="13" t="n">
        <v>0.1</v>
      </c>
      <c r="N3" s="14" t="n">
        <v>27.37</v>
      </c>
      <c r="O3" s="9">
        <f>IF(N3&lt;0,"Loss","Profit")</f>
        <v/>
      </c>
    </row>
    <row r="4">
      <c r="A4" s="9" t="inlineStr">
        <is>
          <t>ORD-2016-0003</t>
        </is>
      </c>
      <c r="B4" s="10" t="n">
        <v>42376</v>
      </c>
      <c r="C4" s="9" t="inlineStr">
        <is>
          <t>Second Class</t>
        </is>
      </c>
      <c r="D4" s="9" t="inlineStr">
        <is>
          <t>CU-1013</t>
        </is>
      </c>
      <c r="E4" s="9" t="inlineStr">
        <is>
          <t>Aditya Pillai</t>
        </is>
      </c>
      <c r="F4" s="9" t="inlineStr">
        <is>
          <t>Consumer</t>
        </is>
      </c>
      <c r="G4" s="9" t="inlineStr">
        <is>
          <t>South</t>
        </is>
      </c>
      <c r="H4" s="9" t="inlineStr">
        <is>
          <t>TEC-MA-01</t>
        </is>
      </c>
      <c r="I4" s="9" t="inlineStr">
        <is>
          <t>Technology</t>
        </is>
      </c>
      <c r="J4" s="9" t="inlineStr">
        <is>
          <t>Machines</t>
        </is>
      </c>
      <c r="K4" s="11" t="n">
        <v>2697</v>
      </c>
      <c r="L4" s="12" t="n">
        <v>5</v>
      </c>
      <c r="M4" s="13" t="n">
        <v>0.4</v>
      </c>
      <c r="N4" s="14" t="n">
        <v>-267.17</v>
      </c>
      <c r="O4" s="9">
        <f>IF(N4&lt;0,"Loss","Profit")</f>
        <v/>
      </c>
    </row>
    <row r="5">
      <c r="A5" s="9" t="inlineStr">
        <is>
          <t>ORD-2016-0004</t>
        </is>
      </c>
      <c r="B5" s="10" t="n">
        <v>42383</v>
      </c>
      <c r="C5" s="9" t="inlineStr">
        <is>
          <t>First Class</t>
        </is>
      </c>
      <c r="D5" s="9" t="inlineStr">
        <is>
          <t>CU-1017</t>
        </is>
      </c>
      <c r="E5" s="9" t="inlineStr">
        <is>
          <t>Ishaan Desai</t>
        </is>
      </c>
      <c r="F5" s="9" t="inlineStr">
        <is>
          <t>Consumer</t>
        </is>
      </c>
      <c r="G5" s="9" t="inlineStr">
        <is>
          <t>East</t>
        </is>
      </c>
      <c r="H5" s="9" t="inlineStr">
        <is>
          <t>TEC-AC-01</t>
        </is>
      </c>
      <c r="I5" s="9" t="inlineStr">
        <is>
          <t>Technology</t>
        </is>
      </c>
      <c r="J5" s="9" t="inlineStr">
        <is>
          <t>Accessories</t>
        </is>
      </c>
      <c r="K5" s="11" t="n">
        <v>44.99</v>
      </c>
      <c r="L5" s="12" t="n">
        <v>1</v>
      </c>
      <c r="M5" s="13" t="n">
        <v>0</v>
      </c>
      <c r="N5" s="14" t="n">
        <v>7.44</v>
      </c>
      <c r="O5" s="9">
        <f>IF(N5&lt;0,"Loss","Profit")</f>
        <v/>
      </c>
    </row>
    <row r="6">
      <c r="A6" s="9" t="inlineStr">
        <is>
          <t>ORD-2016-0005</t>
        </is>
      </c>
      <c r="B6" s="10" t="n">
        <v>42384</v>
      </c>
      <c r="C6" s="9" t="inlineStr">
        <is>
          <t>Standard Class</t>
        </is>
      </c>
      <c r="D6" s="9" t="inlineStr">
        <is>
          <t>CU-1013</t>
        </is>
      </c>
      <c r="E6" s="9" t="inlineStr">
        <is>
          <t>Aditya Pillai</t>
        </is>
      </c>
      <c r="F6" s="9" t="inlineStr">
        <is>
          <t>Consumer</t>
        </is>
      </c>
      <c r="G6" s="9" t="inlineStr">
        <is>
          <t>South</t>
        </is>
      </c>
      <c r="H6" s="9" t="inlineStr">
        <is>
          <t>FUR-BK-02</t>
        </is>
      </c>
      <c r="I6" s="9" t="inlineStr">
        <is>
          <t>Furniture</t>
        </is>
      </c>
      <c r="J6" s="9" t="inlineStr">
        <is>
          <t>Bookcases</t>
        </is>
      </c>
      <c r="K6" s="11" t="n">
        <v>1095</v>
      </c>
      <c r="L6" s="12" t="n">
        <v>3</v>
      </c>
      <c r="M6" s="13" t="n">
        <v>0</v>
      </c>
      <c r="N6" s="14" t="n">
        <v>17.3</v>
      </c>
      <c r="O6" s="9">
        <f>IF(N6&lt;0,"Loss","Profit")</f>
        <v/>
      </c>
    </row>
    <row r="7">
      <c r="A7" s="9" t="inlineStr">
        <is>
          <t>ORD-2016-0006</t>
        </is>
      </c>
      <c r="B7" s="10" t="n">
        <v>42385</v>
      </c>
      <c r="C7" s="9" t="inlineStr">
        <is>
          <t>Same Day</t>
        </is>
      </c>
      <c r="D7" s="9" t="inlineStr">
        <is>
          <t>CU-1001</t>
        </is>
      </c>
      <c r="E7" s="9" t="inlineStr">
        <is>
          <t>Aarav Mehta</t>
        </is>
      </c>
      <c r="F7" s="9" t="inlineStr">
        <is>
          <t>Consumer</t>
        </is>
      </c>
      <c r="G7" s="9" t="inlineStr">
        <is>
          <t>West</t>
        </is>
      </c>
      <c r="H7" s="9" t="inlineStr">
        <is>
          <t>TEC-MA-01</t>
        </is>
      </c>
      <c r="I7" s="9" t="inlineStr">
        <is>
          <t>Technology</t>
        </is>
      </c>
      <c r="J7" s="9" t="inlineStr">
        <is>
          <t>Machines</t>
        </is>
      </c>
      <c r="K7" s="11" t="n">
        <v>4495</v>
      </c>
      <c r="L7" s="12" t="n">
        <v>5</v>
      </c>
      <c r="M7" s="13" t="n">
        <v>0</v>
      </c>
      <c r="N7" s="14" t="n">
        <v>635.48</v>
      </c>
      <c r="O7" s="9">
        <f>IF(N7&lt;0,"Loss","Profit")</f>
        <v/>
      </c>
    </row>
    <row r="8">
      <c r="A8" s="9" t="inlineStr">
        <is>
          <t>ORD-2016-0007</t>
        </is>
      </c>
      <c r="B8" s="10" t="n">
        <v>42386</v>
      </c>
      <c r="C8" s="9" t="inlineStr">
        <is>
          <t>Standard Class</t>
        </is>
      </c>
      <c r="D8" s="9" t="inlineStr">
        <is>
          <t>CU-1015</t>
        </is>
      </c>
      <c r="E8" s="9" t="inlineStr">
        <is>
          <t>Ved Malhotra</t>
        </is>
      </c>
      <c r="F8" s="9" t="inlineStr">
        <is>
          <t>Consumer</t>
        </is>
      </c>
      <c r="G8" s="9" t="inlineStr">
        <is>
          <t>Central</t>
        </is>
      </c>
      <c r="H8" s="9" t="inlineStr">
        <is>
          <t>FUR-TB-01</t>
        </is>
      </c>
      <c r="I8" s="9" t="inlineStr">
        <is>
          <t>Furniture</t>
        </is>
      </c>
      <c r="J8" s="9" t="inlineStr">
        <is>
          <t>Tables</t>
        </is>
      </c>
      <c r="K8" s="11" t="n">
        <v>944</v>
      </c>
      <c r="L8" s="12" t="n">
        <v>1</v>
      </c>
      <c r="M8" s="13" t="n">
        <v>0.2</v>
      </c>
      <c r="N8" s="14" t="n">
        <v>-40.27</v>
      </c>
      <c r="O8" s="9">
        <f>IF(N8&lt;0,"Loss","Profit")</f>
        <v/>
      </c>
    </row>
    <row r="9">
      <c r="A9" s="9" t="inlineStr">
        <is>
          <t>ORD-2016-0008</t>
        </is>
      </c>
      <c r="B9" s="10" t="n">
        <v>42389</v>
      </c>
      <c r="C9" s="9" t="inlineStr">
        <is>
          <t>Standard Class</t>
        </is>
      </c>
      <c r="D9" s="9" t="inlineStr">
        <is>
          <t>CU-1004</t>
        </is>
      </c>
      <c r="E9" s="9" t="inlineStr">
        <is>
          <t>Ananya Iyer</t>
        </is>
      </c>
      <c r="F9" s="9" t="inlineStr">
        <is>
          <t>Home Office</t>
        </is>
      </c>
      <c r="G9" s="9" t="inlineStr">
        <is>
          <t>South</t>
        </is>
      </c>
      <c r="H9" s="9" t="inlineStr">
        <is>
          <t>TEC-AC-01</t>
        </is>
      </c>
      <c r="I9" s="9" t="inlineStr">
        <is>
          <t>Technology</t>
        </is>
      </c>
      <c r="J9" s="9" t="inlineStr">
        <is>
          <t>Accessories</t>
        </is>
      </c>
      <c r="K9" s="11" t="n">
        <v>134.97</v>
      </c>
      <c r="L9" s="12" t="n">
        <v>3</v>
      </c>
      <c r="M9" s="13" t="n">
        <v>0</v>
      </c>
      <c r="N9" s="14" t="n">
        <v>27.13</v>
      </c>
      <c r="O9" s="9">
        <f>IF(N9&lt;0,"Loss","Profit")</f>
        <v/>
      </c>
    </row>
    <row r="10">
      <c r="A10" s="9" t="inlineStr">
        <is>
          <t>ORD-2016-0009</t>
        </is>
      </c>
      <c r="B10" s="10" t="n">
        <v>42392</v>
      </c>
      <c r="C10" s="9" t="inlineStr">
        <is>
          <t>Same Day</t>
        </is>
      </c>
      <c r="D10" s="9" t="inlineStr">
        <is>
          <t>CU-1020</t>
        </is>
      </c>
      <c r="E10" s="9" t="inlineStr">
        <is>
          <t>Navya Reddy</t>
        </is>
      </c>
      <c r="F10" s="9" t="inlineStr">
        <is>
          <t>Consumer</t>
        </is>
      </c>
      <c r="G10" s="9" t="inlineStr">
        <is>
          <t>Central</t>
        </is>
      </c>
      <c r="H10" s="9" t="inlineStr">
        <is>
          <t>TEC-AC-01</t>
        </is>
      </c>
      <c r="I10" s="9" t="inlineStr">
        <is>
          <t>Technology</t>
        </is>
      </c>
      <c r="J10" s="9" t="inlineStr">
        <is>
          <t>Accessories</t>
        </is>
      </c>
      <c r="K10" s="11" t="n">
        <v>161.96</v>
      </c>
      <c r="L10" s="12" t="n">
        <v>4</v>
      </c>
      <c r="M10" s="13" t="n">
        <v>0.1</v>
      </c>
      <c r="N10" s="14" t="n">
        <v>18.27</v>
      </c>
      <c r="O10" s="9">
        <f>IF(N10&lt;0,"Loss","Profit")</f>
        <v/>
      </c>
    </row>
    <row r="11">
      <c r="A11" s="9" t="inlineStr">
        <is>
          <t>ORD-2016-0010</t>
        </is>
      </c>
      <c r="B11" s="10" t="n">
        <v>42395</v>
      </c>
      <c r="C11" s="9" t="inlineStr">
        <is>
          <t>Second Class</t>
        </is>
      </c>
      <c r="D11" s="9" t="inlineStr">
        <is>
          <t>CU-1010</t>
        </is>
      </c>
      <c r="E11" s="9" t="inlineStr">
        <is>
          <t>Saanvi Joshi</t>
        </is>
      </c>
      <c r="F11" s="9" t="inlineStr">
        <is>
          <t>Consumer</t>
        </is>
      </c>
      <c r="G11" s="9" t="inlineStr">
        <is>
          <t>West</t>
        </is>
      </c>
      <c r="H11" s="9" t="inlineStr">
        <is>
          <t>TEC-AC-01</t>
        </is>
      </c>
      <c r="I11" s="9" t="inlineStr">
        <is>
          <t>Technology</t>
        </is>
      </c>
      <c r="J11" s="9" t="inlineStr">
        <is>
          <t>Accessories</t>
        </is>
      </c>
      <c r="K11" s="11" t="n">
        <v>314.93</v>
      </c>
      <c r="L11" s="12" t="n">
        <v>7</v>
      </c>
      <c r="M11" s="13" t="n">
        <v>0</v>
      </c>
      <c r="N11" s="14" t="n">
        <v>20.71</v>
      </c>
      <c r="O11" s="9">
        <f>IF(N11&lt;0,"Loss","Profit")</f>
        <v/>
      </c>
    </row>
    <row r="12">
      <c r="A12" s="9" t="inlineStr">
        <is>
          <t>ORD-2016-0011</t>
        </is>
      </c>
      <c r="B12" s="10" t="n">
        <v>42403</v>
      </c>
      <c r="C12" s="9" t="inlineStr">
        <is>
          <t>Standard Class</t>
        </is>
      </c>
      <c r="D12" s="9" t="inlineStr">
        <is>
          <t>CU-1004</t>
        </is>
      </c>
      <c r="E12" s="9" t="inlineStr">
        <is>
          <t>Ananya Iyer</t>
        </is>
      </c>
      <c r="F12" s="9" t="inlineStr">
        <is>
          <t>Home Office</t>
        </is>
      </c>
      <c r="G12" s="9" t="inlineStr">
        <is>
          <t>South</t>
        </is>
      </c>
      <c r="H12" s="9" t="inlineStr">
        <is>
          <t>OFS-ST-02</t>
        </is>
      </c>
      <c r="I12" s="9" t="inlineStr">
        <is>
          <t>Office Supplies</t>
        </is>
      </c>
      <c r="J12" s="9" t="inlineStr">
        <is>
          <t>Storage</t>
        </is>
      </c>
      <c r="K12" s="11" t="n">
        <v>38.2</v>
      </c>
      <c r="L12" s="12" t="n">
        <v>1</v>
      </c>
      <c r="M12" s="13" t="n">
        <v>0</v>
      </c>
      <c r="N12" s="14" t="n">
        <v>9.029999999999999</v>
      </c>
      <c r="O12" s="9">
        <f>IF(N12&lt;0,"Loss","Profit")</f>
        <v/>
      </c>
    </row>
    <row r="13">
      <c r="A13" s="9" t="inlineStr">
        <is>
          <t>ORD-2016-0012</t>
        </is>
      </c>
      <c r="B13" s="10" t="n">
        <v>42406</v>
      </c>
      <c r="C13" s="9" t="inlineStr">
        <is>
          <t>Standard Class</t>
        </is>
      </c>
      <c r="D13" s="9" t="inlineStr">
        <is>
          <t>CU-1005</t>
        </is>
      </c>
      <c r="E13" s="9" t="inlineStr">
        <is>
          <t>Kabir Singh</t>
        </is>
      </c>
      <c r="F13" s="9" t="inlineStr">
        <is>
          <t>Corporate</t>
        </is>
      </c>
      <c r="G13" s="9" t="inlineStr">
        <is>
          <t>West</t>
        </is>
      </c>
      <c r="H13" s="9" t="inlineStr">
        <is>
          <t>TEC-AC-01</t>
        </is>
      </c>
      <c r="I13" s="9" t="inlineStr">
        <is>
          <t>Technology</t>
        </is>
      </c>
      <c r="J13" s="9" t="inlineStr">
        <is>
          <t>Accessories</t>
        </is>
      </c>
      <c r="K13" s="11" t="n">
        <v>26.99</v>
      </c>
      <c r="L13" s="12" t="n">
        <v>1</v>
      </c>
      <c r="M13" s="13" t="n">
        <v>0.4</v>
      </c>
      <c r="N13" s="14" t="n">
        <v>-3.3</v>
      </c>
      <c r="O13" s="9">
        <f>IF(N13&lt;0,"Loss","Profit")</f>
        <v/>
      </c>
    </row>
    <row r="14">
      <c r="A14" s="9" t="inlineStr">
        <is>
          <t>ORD-2016-0013</t>
        </is>
      </c>
      <c r="B14" s="10" t="n">
        <v>42407</v>
      </c>
      <c r="C14" s="9" t="inlineStr">
        <is>
          <t>Standard Class</t>
        </is>
      </c>
      <c r="D14" s="9" t="inlineStr">
        <is>
          <t>CU-1020</t>
        </is>
      </c>
      <c r="E14" s="9" t="inlineStr">
        <is>
          <t>Navya Reddy</t>
        </is>
      </c>
      <c r="F14" s="9" t="inlineStr">
        <is>
          <t>Consumer</t>
        </is>
      </c>
      <c r="G14" s="9" t="inlineStr">
        <is>
          <t>Central</t>
        </is>
      </c>
      <c r="H14" s="9" t="inlineStr">
        <is>
          <t>TEC-AC-02</t>
        </is>
      </c>
      <c r="I14" s="9" t="inlineStr">
        <is>
          <t>Technology</t>
        </is>
      </c>
      <c r="J14" s="9" t="inlineStr">
        <is>
          <t>Accessories</t>
        </is>
      </c>
      <c r="K14" s="11" t="n">
        <v>567</v>
      </c>
      <c r="L14" s="12" t="n">
        <v>3</v>
      </c>
      <c r="M14" s="13" t="n">
        <v>0</v>
      </c>
      <c r="N14" s="14" t="n">
        <v>71.95</v>
      </c>
      <c r="O14" s="9">
        <f>IF(N14&lt;0,"Loss","Profit")</f>
        <v/>
      </c>
    </row>
    <row r="15">
      <c r="A15" s="9" t="inlineStr">
        <is>
          <t>ORD-2016-0014</t>
        </is>
      </c>
      <c r="B15" s="10" t="n">
        <v>42410</v>
      </c>
      <c r="C15" s="9" t="inlineStr">
        <is>
          <t>Second Class</t>
        </is>
      </c>
      <c r="D15" s="9" t="inlineStr">
        <is>
          <t>CU-1013</t>
        </is>
      </c>
      <c r="E15" s="9" t="inlineStr">
        <is>
          <t>Aditya Pillai</t>
        </is>
      </c>
      <c r="F15" s="9" t="inlineStr">
        <is>
          <t>Consumer</t>
        </is>
      </c>
      <c r="G15" s="9" t="inlineStr">
        <is>
          <t>South</t>
        </is>
      </c>
      <c r="H15" s="9" t="inlineStr">
        <is>
          <t>TEC-MA-01</t>
        </is>
      </c>
      <c r="I15" s="9" t="inlineStr">
        <is>
          <t>Technology</t>
        </is>
      </c>
      <c r="J15" s="9" t="inlineStr">
        <is>
          <t>Machines</t>
        </is>
      </c>
      <c r="K15" s="11" t="n">
        <v>2157.6</v>
      </c>
      <c r="L15" s="12" t="n">
        <v>3</v>
      </c>
      <c r="M15" s="13" t="n">
        <v>0.2</v>
      </c>
      <c r="N15" s="14" t="n">
        <v>161.73</v>
      </c>
      <c r="O15" s="9">
        <f>IF(N15&lt;0,"Loss","Profit")</f>
        <v/>
      </c>
    </row>
    <row r="16">
      <c r="A16" s="9" t="inlineStr">
        <is>
          <t>ORD-2016-0015</t>
        </is>
      </c>
      <c r="B16" s="10" t="n">
        <v>42418</v>
      </c>
      <c r="C16" s="9" t="inlineStr">
        <is>
          <t>Second Class</t>
        </is>
      </c>
      <c r="D16" s="9" t="inlineStr">
        <is>
          <t>CU-1007</t>
        </is>
      </c>
      <c r="E16" s="9" t="inlineStr">
        <is>
          <t>Vihaan Rao</t>
        </is>
      </c>
      <c r="F16" s="9" t="inlineStr">
        <is>
          <t>Home Office</t>
        </is>
      </c>
      <c r="G16" s="9" t="inlineStr">
        <is>
          <t>Central</t>
        </is>
      </c>
      <c r="H16" s="9" t="inlineStr">
        <is>
          <t>TEC-PH-02</t>
        </is>
      </c>
      <c r="I16" s="9" t="inlineStr">
        <is>
          <t>Technology</t>
        </is>
      </c>
      <c r="J16" s="9" t="inlineStr">
        <is>
          <t>Phones</t>
        </is>
      </c>
      <c r="K16" s="11" t="n">
        <v>831.9400000000001</v>
      </c>
      <c r="L16" s="12" t="n">
        <v>8</v>
      </c>
      <c r="M16" s="13" t="n">
        <v>0.2</v>
      </c>
      <c r="N16" s="14" t="n">
        <v>31.32</v>
      </c>
      <c r="O16" s="9">
        <f>IF(N16&lt;0,"Loss","Profit")</f>
        <v/>
      </c>
    </row>
    <row r="17">
      <c r="A17" s="9" t="inlineStr">
        <is>
          <t>ORD-2016-0016</t>
        </is>
      </c>
      <c r="B17" s="10" t="n">
        <v>42421</v>
      </c>
      <c r="C17" s="9" t="inlineStr">
        <is>
          <t>First Class</t>
        </is>
      </c>
      <c r="D17" s="9" t="inlineStr">
        <is>
          <t>CU-1009</t>
        </is>
      </c>
      <c r="E17" s="9" t="inlineStr">
        <is>
          <t>Arjun Verma</t>
        </is>
      </c>
      <c r="F17" s="9" t="inlineStr">
        <is>
          <t>Corporate</t>
        </is>
      </c>
      <c r="G17" s="9" t="inlineStr">
        <is>
          <t>Central</t>
        </is>
      </c>
      <c r="H17" s="9" t="inlineStr">
        <is>
          <t>OFS-ST-01</t>
        </is>
      </c>
      <c r="I17" s="9" t="inlineStr">
        <is>
          <t>Office Supplies</t>
        </is>
      </c>
      <c r="J17" s="9" t="inlineStr">
        <is>
          <t>Storage</t>
        </is>
      </c>
      <c r="K17" s="11" t="n">
        <v>170.4</v>
      </c>
      <c r="L17" s="12" t="n">
        <v>2</v>
      </c>
      <c r="M17" s="13" t="n">
        <v>0.4</v>
      </c>
      <c r="N17" s="14" t="n">
        <v>-7.52</v>
      </c>
      <c r="O17" s="9">
        <f>IF(N17&lt;0,"Loss","Profit")</f>
        <v/>
      </c>
    </row>
    <row r="18">
      <c r="A18" s="9" t="inlineStr">
        <is>
          <t>ORD-2016-0017</t>
        </is>
      </c>
      <c r="B18" s="10" t="n">
        <v>42427</v>
      </c>
      <c r="C18" s="9" t="inlineStr">
        <is>
          <t>Standard Class</t>
        </is>
      </c>
      <c r="D18" s="9" t="inlineStr">
        <is>
          <t>CU-1009</t>
        </is>
      </c>
      <c r="E18" s="9" t="inlineStr">
        <is>
          <t>Arjun Verma</t>
        </is>
      </c>
      <c r="F18" s="9" t="inlineStr">
        <is>
          <t>Corporate</t>
        </is>
      </c>
      <c r="G18" s="9" t="inlineStr">
        <is>
          <t>Central</t>
        </is>
      </c>
      <c r="H18" s="9" t="inlineStr">
        <is>
          <t>FUR-CH-01</t>
        </is>
      </c>
      <c r="I18" s="9" t="inlineStr">
        <is>
          <t>Furniture</t>
        </is>
      </c>
      <c r="J18" s="9" t="inlineStr">
        <is>
          <t>Chairs</t>
        </is>
      </c>
      <c r="K18" s="11" t="n">
        <v>516</v>
      </c>
      <c r="L18" s="12" t="n">
        <v>1</v>
      </c>
      <c r="M18" s="13" t="n">
        <v>0.2</v>
      </c>
      <c r="N18" s="14" t="n">
        <v>7.04</v>
      </c>
      <c r="O18" s="9">
        <f>IF(N18&lt;0,"Loss","Profit")</f>
        <v/>
      </c>
    </row>
    <row r="19">
      <c r="A19" s="9" t="inlineStr">
        <is>
          <t>ORD-2016-0018</t>
        </is>
      </c>
      <c r="B19" s="10" t="n">
        <v>42433</v>
      </c>
      <c r="C19" s="9" t="inlineStr">
        <is>
          <t>Standard Class</t>
        </is>
      </c>
      <c r="D19" s="9" t="inlineStr">
        <is>
          <t>CU-1015</t>
        </is>
      </c>
      <c r="E19" s="9" t="inlineStr">
        <is>
          <t>Ved Malhotra</t>
        </is>
      </c>
      <c r="F19" s="9" t="inlineStr">
        <is>
          <t>Consumer</t>
        </is>
      </c>
      <c r="G19" s="9" t="inlineStr">
        <is>
          <t>Central</t>
        </is>
      </c>
      <c r="H19" s="9" t="inlineStr">
        <is>
          <t>OFS-ST-01</t>
        </is>
      </c>
      <c r="I19" s="9" t="inlineStr">
        <is>
          <t>Office Supplies</t>
        </is>
      </c>
      <c r="J19" s="9" t="inlineStr">
        <is>
          <t>Storage</t>
        </is>
      </c>
      <c r="K19" s="11" t="n">
        <v>170.4</v>
      </c>
      <c r="L19" s="12" t="n">
        <v>2</v>
      </c>
      <c r="M19" s="13" t="n">
        <v>0.4</v>
      </c>
      <c r="N19" s="14" t="n">
        <v>-5.74</v>
      </c>
      <c r="O19" s="9">
        <f>IF(N19&lt;0,"Loss","Profit")</f>
        <v/>
      </c>
    </row>
    <row r="20">
      <c r="A20" s="9" t="inlineStr">
        <is>
          <t>ORD-2016-0019</t>
        </is>
      </c>
      <c r="B20" s="10" t="n">
        <v>42439</v>
      </c>
      <c r="C20" s="9" t="inlineStr">
        <is>
          <t>Standard Class</t>
        </is>
      </c>
      <c r="D20" s="9" t="inlineStr">
        <is>
          <t>CU-1002</t>
        </is>
      </c>
      <c r="E20" s="9" t="inlineStr">
        <is>
          <t>Diya Kapoor</t>
        </is>
      </c>
      <c r="F20" s="9" t="inlineStr">
        <is>
          <t>Consumer</t>
        </is>
      </c>
      <c r="G20" s="9" t="inlineStr">
        <is>
          <t>East</t>
        </is>
      </c>
      <c r="H20" s="9" t="inlineStr">
        <is>
          <t>FUR-BK-02</t>
        </is>
      </c>
      <c r="I20" s="9" t="inlineStr">
        <is>
          <t>Furniture</t>
        </is>
      </c>
      <c r="J20" s="9" t="inlineStr">
        <is>
          <t>Bookcases</t>
        </is>
      </c>
      <c r="K20" s="11" t="n">
        <v>365</v>
      </c>
      <c r="L20" s="12" t="n">
        <v>1</v>
      </c>
      <c r="M20" s="13" t="n">
        <v>0</v>
      </c>
      <c r="N20" s="14" t="n">
        <v>-36.18</v>
      </c>
      <c r="O20" s="9">
        <f>IF(N20&lt;0,"Loss","Profit")</f>
        <v/>
      </c>
    </row>
    <row r="21">
      <c r="A21" s="9" t="inlineStr">
        <is>
          <t>ORD-2016-0020</t>
        </is>
      </c>
      <c r="B21" s="10" t="n">
        <v>42440</v>
      </c>
      <c r="C21" s="9" t="inlineStr">
        <is>
          <t>Standard Class</t>
        </is>
      </c>
      <c r="D21" s="9" t="inlineStr">
        <is>
          <t>CU-1012</t>
        </is>
      </c>
      <c r="E21" s="9" t="inlineStr">
        <is>
          <t>Kiara Bose</t>
        </is>
      </c>
      <c r="F21" s="9" t="inlineStr">
        <is>
          <t>Corporate</t>
        </is>
      </c>
      <c r="G21" s="9" t="inlineStr">
        <is>
          <t>East</t>
        </is>
      </c>
      <c r="H21" s="9" t="inlineStr">
        <is>
          <t>TEC-AC-02</t>
        </is>
      </c>
      <c r="I21" s="9" t="inlineStr">
        <is>
          <t>Technology</t>
        </is>
      </c>
      <c r="J21" s="9" t="inlineStr">
        <is>
          <t>Accessories</t>
        </is>
      </c>
      <c r="K21" s="11" t="n">
        <v>756</v>
      </c>
      <c r="L21" s="12" t="n">
        <v>4</v>
      </c>
      <c r="M21" s="13" t="n">
        <v>0</v>
      </c>
      <c r="N21" s="14" t="n">
        <v>176.57</v>
      </c>
      <c r="O21" s="9">
        <f>IF(N21&lt;0,"Loss","Profit")</f>
        <v/>
      </c>
    </row>
    <row r="22">
      <c r="A22" s="9" t="inlineStr">
        <is>
          <t>ORD-2016-0021</t>
        </is>
      </c>
      <c r="B22" s="10" t="n">
        <v>42442</v>
      </c>
      <c r="C22" s="9" t="inlineStr">
        <is>
          <t>Second Class</t>
        </is>
      </c>
      <c r="D22" s="9" t="inlineStr">
        <is>
          <t>CU-1001</t>
        </is>
      </c>
      <c r="E22" s="9" t="inlineStr">
        <is>
          <t>Aarav Mehta</t>
        </is>
      </c>
      <c r="F22" s="9" t="inlineStr">
        <is>
          <t>Consumer</t>
        </is>
      </c>
      <c r="G22" s="9" t="inlineStr">
        <is>
          <t>West</t>
        </is>
      </c>
      <c r="H22" s="9" t="inlineStr">
        <is>
          <t>OFS-PA-01</t>
        </is>
      </c>
      <c r="I22" s="9" t="inlineStr">
        <is>
          <t>Office Supplies</t>
        </is>
      </c>
      <c r="J22" s="9" t="inlineStr">
        <is>
          <t>Paper</t>
        </is>
      </c>
      <c r="K22" s="11" t="n">
        <v>19.2</v>
      </c>
      <c r="L22" s="12" t="n">
        <v>2</v>
      </c>
      <c r="M22" s="13" t="n">
        <v>0</v>
      </c>
      <c r="N22" s="14" t="n">
        <v>4.87</v>
      </c>
      <c r="O22" s="9">
        <f>IF(N22&lt;0,"Loss","Profit")</f>
        <v/>
      </c>
    </row>
    <row r="23">
      <c r="A23" s="9" t="inlineStr">
        <is>
          <t>ORD-2016-0022</t>
        </is>
      </c>
      <c r="B23" s="10" t="n">
        <v>42442</v>
      </c>
      <c r="C23" s="9" t="inlineStr">
        <is>
          <t>Standard Class</t>
        </is>
      </c>
      <c r="D23" s="9" t="inlineStr">
        <is>
          <t>CU-1013</t>
        </is>
      </c>
      <c r="E23" s="9" t="inlineStr">
        <is>
          <t>Aditya Pillai</t>
        </is>
      </c>
      <c r="F23" s="9" t="inlineStr">
        <is>
          <t>Consumer</t>
        </is>
      </c>
      <c r="G23" s="9" t="inlineStr">
        <is>
          <t>South</t>
        </is>
      </c>
      <c r="H23" s="9" t="inlineStr">
        <is>
          <t>OFS-ST-02</t>
        </is>
      </c>
      <c r="I23" s="9" t="inlineStr">
        <is>
          <t>Office Supplies</t>
        </is>
      </c>
      <c r="J23" s="9" t="inlineStr">
        <is>
          <t>Storage</t>
        </is>
      </c>
      <c r="K23" s="11" t="n">
        <v>76.40000000000001</v>
      </c>
      <c r="L23" s="12" t="n">
        <v>2</v>
      </c>
      <c r="M23" s="13" t="n">
        <v>0</v>
      </c>
      <c r="N23" s="14" t="n">
        <v>18.83</v>
      </c>
      <c r="O23" s="9">
        <f>IF(N23&lt;0,"Loss","Profit")</f>
        <v/>
      </c>
    </row>
    <row r="24">
      <c r="A24" s="9" t="inlineStr">
        <is>
          <t>ORD-2016-0023</t>
        </is>
      </c>
      <c r="B24" s="10" t="n">
        <v>42445</v>
      </c>
      <c r="C24" s="9" t="inlineStr">
        <is>
          <t>Second Class</t>
        </is>
      </c>
      <c r="D24" s="9" t="inlineStr">
        <is>
          <t>CU-1010</t>
        </is>
      </c>
      <c r="E24" s="9" t="inlineStr">
        <is>
          <t>Saanvi Joshi</t>
        </is>
      </c>
      <c r="F24" s="9" t="inlineStr">
        <is>
          <t>Consumer</t>
        </is>
      </c>
      <c r="G24" s="9" t="inlineStr">
        <is>
          <t>West</t>
        </is>
      </c>
      <c r="H24" s="9" t="inlineStr">
        <is>
          <t>TEC-AC-01</t>
        </is>
      </c>
      <c r="I24" s="9" t="inlineStr">
        <is>
          <t>Technology</t>
        </is>
      </c>
      <c r="J24" s="9" t="inlineStr">
        <is>
          <t>Accessories</t>
        </is>
      </c>
      <c r="K24" s="11" t="n">
        <v>283.44</v>
      </c>
      <c r="L24" s="12" t="n">
        <v>7</v>
      </c>
      <c r="M24" s="13" t="n">
        <v>0.1</v>
      </c>
      <c r="N24" s="14" t="n">
        <v>46.17</v>
      </c>
      <c r="O24" s="9">
        <f>IF(N24&lt;0,"Loss","Profit")</f>
        <v/>
      </c>
    </row>
    <row r="25">
      <c r="A25" s="9" t="inlineStr">
        <is>
          <t>ORD-2016-0024</t>
        </is>
      </c>
      <c r="B25" s="10" t="n">
        <v>42445</v>
      </c>
      <c r="C25" s="9" t="inlineStr">
        <is>
          <t>Second Class</t>
        </is>
      </c>
      <c r="D25" s="9" t="inlineStr">
        <is>
          <t>CU-1015</t>
        </is>
      </c>
      <c r="E25" s="9" t="inlineStr">
        <is>
          <t>Ved Malhotra</t>
        </is>
      </c>
      <c r="F25" s="9" t="inlineStr">
        <is>
          <t>Consumer</t>
        </is>
      </c>
      <c r="G25" s="9" t="inlineStr">
        <is>
          <t>Central</t>
        </is>
      </c>
      <c r="H25" s="9" t="inlineStr">
        <is>
          <t>OFS-ST-01</t>
        </is>
      </c>
      <c r="I25" s="9" t="inlineStr">
        <is>
          <t>Office Supplies</t>
        </is>
      </c>
      <c r="J25" s="9" t="inlineStr">
        <is>
          <t>Storage</t>
        </is>
      </c>
      <c r="K25" s="11" t="n">
        <v>298.2</v>
      </c>
      <c r="L25" s="12" t="n">
        <v>3</v>
      </c>
      <c r="M25" s="13" t="n">
        <v>0.3</v>
      </c>
      <c r="N25" s="14" t="n">
        <v>37.56</v>
      </c>
      <c r="O25" s="9">
        <f>IF(N25&lt;0,"Loss","Profit")</f>
        <v/>
      </c>
    </row>
    <row r="26">
      <c r="A26" s="9" t="inlineStr">
        <is>
          <t>ORD-2016-0025</t>
        </is>
      </c>
      <c r="B26" s="10" t="n">
        <v>42450</v>
      </c>
      <c r="C26" s="9" t="inlineStr">
        <is>
          <t>Standard Class</t>
        </is>
      </c>
      <c r="D26" s="9" t="inlineStr">
        <is>
          <t>CU-1010</t>
        </is>
      </c>
      <c r="E26" s="9" t="inlineStr">
        <is>
          <t>Saanvi Joshi</t>
        </is>
      </c>
      <c r="F26" s="9" t="inlineStr">
        <is>
          <t>Consumer</t>
        </is>
      </c>
      <c r="G26" s="9" t="inlineStr">
        <is>
          <t>West</t>
        </is>
      </c>
      <c r="H26" s="9" t="inlineStr">
        <is>
          <t>FUR-BK-02</t>
        </is>
      </c>
      <c r="I26" s="9" t="inlineStr">
        <is>
          <t>Furniture</t>
        </is>
      </c>
      <c r="J26" s="9" t="inlineStr">
        <is>
          <t>Bookcases</t>
        </is>
      </c>
      <c r="K26" s="11" t="n">
        <v>2920</v>
      </c>
      <c r="L26" s="12" t="n">
        <v>8</v>
      </c>
      <c r="M26" s="13" t="n">
        <v>0</v>
      </c>
      <c r="N26" s="14" t="n">
        <v>149.31</v>
      </c>
      <c r="O26" s="9">
        <f>IF(N26&lt;0,"Loss","Profit")</f>
        <v/>
      </c>
    </row>
    <row r="27">
      <c r="A27" s="9" t="inlineStr">
        <is>
          <t>ORD-2016-0026</t>
        </is>
      </c>
      <c r="B27" s="10" t="n">
        <v>42452</v>
      </c>
      <c r="C27" s="9" t="inlineStr">
        <is>
          <t>First Class</t>
        </is>
      </c>
      <c r="D27" s="9" t="inlineStr">
        <is>
          <t>CU-1001</t>
        </is>
      </c>
      <c r="E27" s="9" t="inlineStr">
        <is>
          <t>Aarav Mehta</t>
        </is>
      </c>
      <c r="F27" s="9" t="inlineStr">
        <is>
          <t>Consumer</t>
        </is>
      </c>
      <c r="G27" s="9" t="inlineStr">
        <is>
          <t>West</t>
        </is>
      </c>
      <c r="H27" s="9" t="inlineStr">
        <is>
          <t>OFS-PA-01</t>
        </is>
      </c>
      <c r="I27" s="9" t="inlineStr">
        <is>
          <t>Office Supplies</t>
        </is>
      </c>
      <c r="J27" s="9" t="inlineStr">
        <is>
          <t>Paper</t>
        </is>
      </c>
      <c r="K27" s="11" t="n">
        <v>25.92</v>
      </c>
      <c r="L27" s="12" t="n">
        <v>3</v>
      </c>
      <c r="M27" s="13" t="n">
        <v>0.1</v>
      </c>
      <c r="N27" s="14" t="n">
        <v>5.14</v>
      </c>
      <c r="O27" s="9">
        <f>IF(N27&lt;0,"Loss","Profit")</f>
        <v/>
      </c>
    </row>
    <row r="28">
      <c r="A28" s="9" t="inlineStr">
        <is>
          <t>ORD-2016-0027</t>
        </is>
      </c>
      <c r="B28" s="10" t="n">
        <v>42455</v>
      </c>
      <c r="C28" s="9" t="inlineStr">
        <is>
          <t>Standard Class</t>
        </is>
      </c>
      <c r="D28" s="9" t="inlineStr">
        <is>
          <t>CU-1003</t>
        </is>
      </c>
      <c r="E28" s="9" t="inlineStr">
        <is>
          <t>Rohan Sharma</t>
        </is>
      </c>
      <c r="F28" s="9" t="inlineStr">
        <is>
          <t>Corporate</t>
        </is>
      </c>
      <c r="G28" s="9" t="inlineStr">
        <is>
          <t>North</t>
        </is>
      </c>
      <c r="H28" s="9" t="inlineStr">
        <is>
          <t>TEC-MA-01</t>
        </is>
      </c>
      <c r="I28" s="9" t="inlineStr">
        <is>
          <t>Technology</t>
        </is>
      </c>
      <c r="J28" s="9" t="inlineStr">
        <is>
          <t>Machines</t>
        </is>
      </c>
      <c r="K28" s="11" t="n">
        <v>539.4</v>
      </c>
      <c r="L28" s="12" t="n">
        <v>1</v>
      </c>
      <c r="M28" s="13" t="n">
        <v>0.4</v>
      </c>
      <c r="N28" s="14" t="n">
        <v>-64.63</v>
      </c>
      <c r="O28" s="9">
        <f>IF(N28&lt;0,"Loss","Profit")</f>
        <v/>
      </c>
    </row>
    <row r="29">
      <c r="A29" s="9" t="inlineStr">
        <is>
          <t>ORD-2016-0028</t>
        </is>
      </c>
      <c r="B29" s="10" t="n">
        <v>42457</v>
      </c>
      <c r="C29" s="9" t="inlineStr">
        <is>
          <t>Standard Class</t>
        </is>
      </c>
      <c r="D29" s="9" t="inlineStr">
        <is>
          <t>CU-1003</t>
        </is>
      </c>
      <c r="E29" s="9" t="inlineStr">
        <is>
          <t>Rohan Sharma</t>
        </is>
      </c>
      <c r="F29" s="9" t="inlineStr">
        <is>
          <t>Corporate</t>
        </is>
      </c>
      <c r="G29" s="9" t="inlineStr">
        <is>
          <t>North</t>
        </is>
      </c>
      <c r="H29" s="9" t="inlineStr">
        <is>
          <t>OFS-PA-02</t>
        </is>
      </c>
      <c r="I29" s="9" t="inlineStr">
        <is>
          <t>Office Supplies</t>
        </is>
      </c>
      <c r="J29" s="9" t="inlineStr">
        <is>
          <t>Paper</t>
        </is>
      </c>
      <c r="K29" s="11" t="n">
        <v>14.5</v>
      </c>
      <c r="L29" s="12" t="n">
        <v>2</v>
      </c>
      <c r="M29" s="13" t="n">
        <v>0</v>
      </c>
      <c r="N29" s="14" t="n">
        <v>3.58</v>
      </c>
      <c r="O29" s="9">
        <f>IF(N29&lt;0,"Loss","Profit")</f>
        <v/>
      </c>
    </row>
    <row r="30">
      <c r="A30" s="9" t="inlineStr">
        <is>
          <t>ORD-2016-0029</t>
        </is>
      </c>
      <c r="B30" s="10" t="n">
        <v>42463</v>
      </c>
      <c r="C30" s="9" t="inlineStr">
        <is>
          <t>Second Class</t>
        </is>
      </c>
      <c r="D30" s="9" t="inlineStr">
        <is>
          <t>CU-1016</t>
        </is>
      </c>
      <c r="E30" s="9" t="inlineStr">
        <is>
          <t>Tara Bhatia</t>
        </is>
      </c>
      <c r="F30" s="9" t="inlineStr">
        <is>
          <t>Corporate</t>
        </is>
      </c>
      <c r="G30" s="9" t="inlineStr">
        <is>
          <t>North</t>
        </is>
      </c>
      <c r="H30" s="9" t="inlineStr">
        <is>
          <t>OFS-PA-01</t>
        </is>
      </c>
      <c r="I30" s="9" t="inlineStr">
        <is>
          <t>Office Supplies</t>
        </is>
      </c>
      <c r="J30" s="9" t="inlineStr">
        <is>
          <t>Paper</t>
        </is>
      </c>
      <c r="K30" s="11" t="n">
        <v>38.4</v>
      </c>
      <c r="L30" s="12" t="n">
        <v>4</v>
      </c>
      <c r="M30" s="13" t="n">
        <v>0</v>
      </c>
      <c r="N30" s="14" t="n">
        <v>10.24</v>
      </c>
      <c r="O30" s="9">
        <f>IF(N30&lt;0,"Loss","Profit")</f>
        <v/>
      </c>
    </row>
    <row r="31">
      <c r="A31" s="9" t="inlineStr">
        <is>
          <t>ORD-2016-0030</t>
        </is>
      </c>
      <c r="B31" s="10" t="n">
        <v>42464</v>
      </c>
      <c r="C31" s="9" t="inlineStr">
        <is>
          <t>Same Day</t>
        </is>
      </c>
      <c r="D31" s="9" t="inlineStr">
        <is>
          <t>CU-1004</t>
        </is>
      </c>
      <c r="E31" s="9" t="inlineStr">
        <is>
          <t>Ananya Iyer</t>
        </is>
      </c>
      <c r="F31" s="9" t="inlineStr">
        <is>
          <t>Home Office</t>
        </is>
      </c>
      <c r="G31" s="9" t="inlineStr">
        <is>
          <t>South</t>
        </is>
      </c>
      <c r="H31" s="9" t="inlineStr">
        <is>
          <t>OFS-ST-01</t>
        </is>
      </c>
      <c r="I31" s="9" t="inlineStr">
        <is>
          <t>Office Supplies</t>
        </is>
      </c>
      <c r="J31" s="9" t="inlineStr">
        <is>
          <t>Storage</t>
        </is>
      </c>
      <c r="K31" s="11" t="n">
        <v>994</v>
      </c>
      <c r="L31" s="12" t="n">
        <v>7</v>
      </c>
      <c r="M31" s="13" t="n">
        <v>0</v>
      </c>
      <c r="N31" s="14" t="n">
        <v>198.01</v>
      </c>
      <c r="O31" s="9">
        <f>IF(N31&lt;0,"Loss","Profit")</f>
        <v/>
      </c>
    </row>
    <row r="32">
      <c r="A32" s="9" t="inlineStr">
        <is>
          <t>ORD-2016-0031</t>
        </is>
      </c>
      <c r="B32" s="10" t="n">
        <v>42465</v>
      </c>
      <c r="C32" s="9" t="inlineStr">
        <is>
          <t>Standard Class</t>
        </is>
      </c>
      <c r="D32" s="9" t="inlineStr">
        <is>
          <t>CU-1011</t>
        </is>
      </c>
      <c r="E32" s="9" t="inlineStr">
        <is>
          <t>Reyansh Gupta</t>
        </is>
      </c>
      <c r="F32" s="9" t="inlineStr">
        <is>
          <t>Home Office</t>
        </is>
      </c>
      <c r="G32" s="9" t="inlineStr">
        <is>
          <t>North</t>
        </is>
      </c>
      <c r="H32" s="9" t="inlineStr">
        <is>
          <t>FUR-CH-02</t>
        </is>
      </c>
      <c r="I32" s="9" t="inlineStr">
        <is>
          <t>Furniture</t>
        </is>
      </c>
      <c r="J32" s="9" t="inlineStr">
        <is>
          <t>Chairs</t>
        </is>
      </c>
      <c r="K32" s="11" t="n">
        <v>272.99</v>
      </c>
      <c r="L32" s="12" t="n">
        <v>1</v>
      </c>
      <c r="M32" s="13" t="n">
        <v>0.3</v>
      </c>
      <c r="N32" s="14" t="n">
        <v>-16.62</v>
      </c>
      <c r="O32" s="9">
        <f>IF(N32&lt;0,"Loss","Profit")</f>
        <v/>
      </c>
    </row>
    <row r="33">
      <c r="A33" s="9" t="inlineStr">
        <is>
          <t>ORD-2016-0032</t>
        </is>
      </c>
      <c r="B33" s="10" t="n">
        <v>42467</v>
      </c>
      <c r="C33" s="9" t="inlineStr">
        <is>
          <t>Standard Class</t>
        </is>
      </c>
      <c r="D33" s="9" t="inlineStr">
        <is>
          <t>CU-1010</t>
        </is>
      </c>
      <c r="E33" s="9" t="inlineStr">
        <is>
          <t>Saanvi Joshi</t>
        </is>
      </c>
      <c r="F33" s="9" t="inlineStr">
        <is>
          <t>Consumer</t>
        </is>
      </c>
      <c r="G33" s="9" t="inlineStr">
        <is>
          <t>West</t>
        </is>
      </c>
      <c r="H33" s="9" t="inlineStr">
        <is>
          <t>TEC-AC-01</t>
        </is>
      </c>
      <c r="I33" s="9" t="inlineStr">
        <is>
          <t>Technology</t>
        </is>
      </c>
      <c r="J33" s="9" t="inlineStr">
        <is>
          <t>Accessories</t>
        </is>
      </c>
      <c r="K33" s="11" t="n">
        <v>31.49</v>
      </c>
      <c r="L33" s="12" t="n">
        <v>1</v>
      </c>
      <c r="M33" s="13" t="n">
        <v>0.3</v>
      </c>
      <c r="N33" s="14" t="n">
        <v>0.28</v>
      </c>
      <c r="O33" s="9">
        <f>IF(N33&lt;0,"Loss","Profit")</f>
        <v/>
      </c>
    </row>
    <row r="34">
      <c r="A34" s="9" t="inlineStr">
        <is>
          <t>ORD-2016-0033</t>
        </is>
      </c>
      <c r="B34" s="10" t="n">
        <v>42469</v>
      </c>
      <c r="C34" s="9" t="inlineStr">
        <is>
          <t>Second Class</t>
        </is>
      </c>
      <c r="D34" s="9" t="inlineStr">
        <is>
          <t>CU-1012</t>
        </is>
      </c>
      <c r="E34" s="9" t="inlineStr">
        <is>
          <t>Kiara Bose</t>
        </is>
      </c>
      <c r="F34" s="9" t="inlineStr">
        <is>
          <t>Corporate</t>
        </is>
      </c>
      <c r="G34" s="9" t="inlineStr">
        <is>
          <t>East</t>
        </is>
      </c>
      <c r="H34" s="9" t="inlineStr">
        <is>
          <t>TEC-MA-01</t>
        </is>
      </c>
      <c r="I34" s="9" t="inlineStr">
        <is>
          <t>Technology</t>
        </is>
      </c>
      <c r="J34" s="9" t="inlineStr">
        <is>
          <t>Machines</t>
        </is>
      </c>
      <c r="K34" s="11" t="n">
        <v>719.2</v>
      </c>
      <c r="L34" s="12" t="n">
        <v>1</v>
      </c>
      <c r="M34" s="13" t="n">
        <v>0.2</v>
      </c>
      <c r="N34" s="14" t="n">
        <v>27.11</v>
      </c>
      <c r="O34" s="9">
        <f>IF(N34&lt;0,"Loss","Profit")</f>
        <v/>
      </c>
    </row>
    <row r="35">
      <c r="A35" s="9" t="inlineStr">
        <is>
          <t>ORD-2016-0034</t>
        </is>
      </c>
      <c r="B35" s="10" t="n">
        <v>42470</v>
      </c>
      <c r="C35" s="9" t="inlineStr">
        <is>
          <t>First Class</t>
        </is>
      </c>
      <c r="D35" s="9" t="inlineStr">
        <is>
          <t>CU-1015</t>
        </is>
      </c>
      <c r="E35" s="9" t="inlineStr">
        <is>
          <t>Ved Malhotra</t>
        </is>
      </c>
      <c r="F35" s="9" t="inlineStr">
        <is>
          <t>Consumer</t>
        </is>
      </c>
      <c r="G35" s="9" t="inlineStr">
        <is>
          <t>Central</t>
        </is>
      </c>
      <c r="H35" s="9" t="inlineStr">
        <is>
          <t>OFS-BI-02</t>
        </is>
      </c>
      <c r="I35" s="9" t="inlineStr">
        <is>
          <t>Office Supplies</t>
        </is>
      </c>
      <c r="J35" s="9" t="inlineStr">
        <is>
          <t>Binders</t>
        </is>
      </c>
      <c r="K35" s="11" t="n">
        <v>6.85</v>
      </c>
      <c r="L35" s="12" t="n">
        <v>1</v>
      </c>
      <c r="M35" s="13" t="n">
        <v>0</v>
      </c>
      <c r="N35" s="14" t="n">
        <v>2.04</v>
      </c>
      <c r="O35" s="9">
        <f>IF(N35&lt;0,"Loss","Profit")</f>
        <v/>
      </c>
    </row>
    <row r="36">
      <c r="A36" s="9" t="inlineStr">
        <is>
          <t>ORD-2016-0035</t>
        </is>
      </c>
      <c r="B36" s="10" t="n">
        <v>42471</v>
      </c>
      <c r="C36" s="9" t="inlineStr">
        <is>
          <t>First Class</t>
        </is>
      </c>
      <c r="D36" s="9" t="inlineStr">
        <is>
          <t>CU-1002</t>
        </is>
      </c>
      <c r="E36" s="9" t="inlineStr">
        <is>
          <t>Diya Kapoor</t>
        </is>
      </c>
      <c r="F36" s="9" t="inlineStr">
        <is>
          <t>Consumer</t>
        </is>
      </c>
      <c r="G36" s="9" t="inlineStr">
        <is>
          <t>East</t>
        </is>
      </c>
      <c r="H36" s="9" t="inlineStr">
        <is>
          <t>FUR-CH-03</t>
        </is>
      </c>
      <c r="I36" s="9" t="inlineStr">
        <is>
          <t>Furniture</t>
        </is>
      </c>
      <c r="J36" s="9" t="inlineStr">
        <is>
          <t>Chairs</t>
        </is>
      </c>
      <c r="K36" s="11" t="n">
        <v>129.5</v>
      </c>
      <c r="L36" s="12" t="n">
        <v>1</v>
      </c>
      <c r="M36" s="13" t="n">
        <v>0</v>
      </c>
      <c r="N36" s="14" t="n">
        <v>3.13</v>
      </c>
      <c r="O36" s="9">
        <f>IF(N36&lt;0,"Loss","Profit")</f>
        <v/>
      </c>
    </row>
    <row r="37">
      <c r="A37" s="9" t="inlineStr">
        <is>
          <t>ORD-2016-0036</t>
        </is>
      </c>
      <c r="B37" s="10" t="n">
        <v>42474</v>
      </c>
      <c r="C37" s="9" t="inlineStr">
        <is>
          <t>First Class</t>
        </is>
      </c>
      <c r="D37" s="9" t="inlineStr">
        <is>
          <t>CU-1011</t>
        </is>
      </c>
      <c r="E37" s="9" t="inlineStr">
        <is>
          <t>Reyansh Gupta</t>
        </is>
      </c>
      <c r="F37" s="9" t="inlineStr">
        <is>
          <t>Home Office</t>
        </is>
      </c>
      <c r="G37" s="9" t="inlineStr">
        <is>
          <t>North</t>
        </is>
      </c>
      <c r="H37" s="9" t="inlineStr">
        <is>
          <t>FUR-TB-01</t>
        </is>
      </c>
      <c r="I37" s="9" t="inlineStr">
        <is>
          <t>Furniture</t>
        </is>
      </c>
      <c r="J37" s="9" t="inlineStr">
        <is>
          <t>Tables</t>
        </is>
      </c>
      <c r="K37" s="11" t="n">
        <v>826</v>
      </c>
      <c r="L37" s="12" t="n">
        <v>1</v>
      </c>
      <c r="M37" s="13" t="n">
        <v>0.3</v>
      </c>
      <c r="N37" s="14" t="n">
        <v>-90.48</v>
      </c>
      <c r="O37" s="9">
        <f>IF(N37&lt;0,"Loss","Profit")</f>
        <v/>
      </c>
    </row>
    <row r="38">
      <c r="A38" s="9" t="inlineStr">
        <is>
          <t>ORD-2016-0037</t>
        </is>
      </c>
      <c r="B38" s="10" t="n">
        <v>42475</v>
      </c>
      <c r="C38" s="9" t="inlineStr">
        <is>
          <t>First Class</t>
        </is>
      </c>
      <c r="D38" s="9" t="inlineStr">
        <is>
          <t>CU-1009</t>
        </is>
      </c>
      <c r="E38" s="9" t="inlineStr">
        <is>
          <t>Arjun Verma</t>
        </is>
      </c>
      <c r="F38" s="9" t="inlineStr">
        <is>
          <t>Corporate</t>
        </is>
      </c>
      <c r="G38" s="9" t="inlineStr">
        <is>
          <t>Central</t>
        </is>
      </c>
      <c r="H38" s="9" t="inlineStr">
        <is>
          <t>TEC-PH-01</t>
        </is>
      </c>
      <c r="I38" s="9" t="inlineStr">
        <is>
          <t>Technology</t>
        </is>
      </c>
      <c r="J38" s="9" t="inlineStr">
        <is>
          <t>Phones</t>
        </is>
      </c>
      <c r="K38" s="11" t="n">
        <v>1947</v>
      </c>
      <c r="L38" s="12" t="n">
        <v>3</v>
      </c>
      <c r="M38" s="13" t="n">
        <v>0</v>
      </c>
      <c r="N38" s="14" t="n">
        <v>305.75</v>
      </c>
      <c r="O38" s="9">
        <f>IF(N38&lt;0,"Loss","Profit")</f>
        <v/>
      </c>
    </row>
    <row r="39">
      <c r="A39" s="9" t="inlineStr">
        <is>
          <t>ORD-2016-0038</t>
        </is>
      </c>
      <c r="B39" s="10" t="n">
        <v>42481</v>
      </c>
      <c r="C39" s="9" t="inlineStr">
        <is>
          <t>Standard Class</t>
        </is>
      </c>
      <c r="D39" s="9" t="inlineStr">
        <is>
          <t>CU-1014</t>
        </is>
      </c>
      <c r="E39" s="9" t="inlineStr">
        <is>
          <t>Myra Chawla</t>
        </is>
      </c>
      <c r="F39" s="9" t="inlineStr">
        <is>
          <t>Home Office</t>
        </is>
      </c>
      <c r="G39" s="9" t="inlineStr">
        <is>
          <t>West</t>
        </is>
      </c>
      <c r="H39" s="9" t="inlineStr">
        <is>
          <t>FUR-TB-01</t>
        </is>
      </c>
      <c r="I39" s="9" t="inlineStr">
        <is>
          <t>Furniture</t>
        </is>
      </c>
      <c r="J39" s="9" t="inlineStr">
        <is>
          <t>Tables</t>
        </is>
      </c>
      <c r="K39" s="11" t="n">
        <v>2360</v>
      </c>
      <c r="L39" s="12" t="n">
        <v>2</v>
      </c>
      <c r="M39" s="13" t="n">
        <v>0</v>
      </c>
      <c r="N39" s="14" t="n">
        <v>167.77</v>
      </c>
      <c r="O39" s="9">
        <f>IF(N39&lt;0,"Loss","Profit")</f>
        <v/>
      </c>
    </row>
    <row r="40">
      <c r="A40" s="9" t="inlineStr">
        <is>
          <t>ORD-2016-0039</t>
        </is>
      </c>
      <c r="B40" s="10" t="n">
        <v>42482</v>
      </c>
      <c r="C40" s="9" t="inlineStr">
        <is>
          <t>Standard Class</t>
        </is>
      </c>
      <c r="D40" s="9" t="inlineStr">
        <is>
          <t>CU-1003</t>
        </is>
      </c>
      <c r="E40" s="9" t="inlineStr">
        <is>
          <t>Rohan Sharma</t>
        </is>
      </c>
      <c r="F40" s="9" t="inlineStr">
        <is>
          <t>Corporate</t>
        </is>
      </c>
      <c r="G40" s="9" t="inlineStr">
        <is>
          <t>North</t>
        </is>
      </c>
      <c r="H40" s="9" t="inlineStr">
        <is>
          <t>OFS-BI-02</t>
        </is>
      </c>
      <c r="I40" s="9" t="inlineStr">
        <is>
          <t>Office Supplies</t>
        </is>
      </c>
      <c r="J40" s="9" t="inlineStr">
        <is>
          <t>Binders</t>
        </is>
      </c>
      <c r="K40" s="11" t="n">
        <v>32.88</v>
      </c>
      <c r="L40" s="12" t="n">
        <v>6</v>
      </c>
      <c r="M40" s="13" t="n">
        <v>0.2</v>
      </c>
      <c r="N40" s="14" t="n">
        <v>3.93</v>
      </c>
      <c r="O40" s="9">
        <f>IF(N40&lt;0,"Loss","Profit")</f>
        <v/>
      </c>
    </row>
    <row r="41">
      <c r="A41" s="9" t="inlineStr">
        <is>
          <t>ORD-2016-0040</t>
        </is>
      </c>
      <c r="B41" s="10" t="n">
        <v>42483</v>
      </c>
      <c r="C41" s="9" t="inlineStr">
        <is>
          <t>Second Class</t>
        </is>
      </c>
      <c r="D41" s="9" t="inlineStr">
        <is>
          <t>CU-1012</t>
        </is>
      </c>
      <c r="E41" s="9" t="inlineStr">
        <is>
          <t>Kiara Bose</t>
        </is>
      </c>
      <c r="F41" s="9" t="inlineStr">
        <is>
          <t>Corporate</t>
        </is>
      </c>
      <c r="G41" s="9" t="inlineStr">
        <is>
          <t>East</t>
        </is>
      </c>
      <c r="H41" s="9" t="inlineStr">
        <is>
          <t>TEC-PH-01</t>
        </is>
      </c>
      <c r="I41" s="9" t="inlineStr">
        <is>
          <t>Technology</t>
        </is>
      </c>
      <c r="J41" s="9" t="inlineStr">
        <is>
          <t>Phones</t>
        </is>
      </c>
      <c r="K41" s="11" t="n">
        <v>3180.1</v>
      </c>
      <c r="L41" s="12" t="n">
        <v>7</v>
      </c>
      <c r="M41" s="13" t="n">
        <v>0.3</v>
      </c>
      <c r="N41" s="14" t="n">
        <v>170.49</v>
      </c>
      <c r="O41" s="9">
        <f>IF(N41&lt;0,"Loss","Profit")</f>
        <v/>
      </c>
    </row>
    <row r="42">
      <c r="A42" s="9" t="inlineStr">
        <is>
          <t>ORD-2016-0041</t>
        </is>
      </c>
      <c r="B42" s="10" t="n">
        <v>42484</v>
      </c>
      <c r="C42" s="9" t="inlineStr">
        <is>
          <t>Second Class</t>
        </is>
      </c>
      <c r="D42" s="9" t="inlineStr">
        <is>
          <t>CU-1014</t>
        </is>
      </c>
      <c r="E42" s="9" t="inlineStr">
        <is>
          <t>Myra Chawla</t>
        </is>
      </c>
      <c r="F42" s="9" t="inlineStr">
        <is>
          <t>Home Office</t>
        </is>
      </c>
      <c r="G42" s="9" t="inlineStr">
        <is>
          <t>West</t>
        </is>
      </c>
      <c r="H42" s="9" t="inlineStr">
        <is>
          <t>FUR-FN-01</t>
        </is>
      </c>
      <c r="I42" s="9" t="inlineStr">
        <is>
          <t>Furniture</t>
        </is>
      </c>
      <c r="J42" s="9" t="inlineStr">
        <is>
          <t>Furnishings</t>
        </is>
      </c>
      <c r="K42" s="11" t="n">
        <v>175.5</v>
      </c>
      <c r="L42" s="12" t="n">
        <v>4</v>
      </c>
      <c r="M42" s="13" t="n">
        <v>0.1</v>
      </c>
      <c r="N42" s="14" t="n">
        <v>-22.4</v>
      </c>
      <c r="O42" s="9">
        <f>IF(N42&lt;0,"Loss","Profit")</f>
        <v/>
      </c>
    </row>
    <row r="43">
      <c r="A43" s="9" t="inlineStr">
        <is>
          <t>ORD-2016-0042</t>
        </is>
      </c>
      <c r="B43" s="10" t="n">
        <v>42487</v>
      </c>
      <c r="C43" s="9" t="inlineStr">
        <is>
          <t>Standard Class</t>
        </is>
      </c>
      <c r="D43" s="9" t="inlineStr">
        <is>
          <t>CU-1003</t>
        </is>
      </c>
      <c r="E43" s="9" t="inlineStr">
        <is>
          <t>Rohan Sharma</t>
        </is>
      </c>
      <c r="F43" s="9" t="inlineStr">
        <is>
          <t>Corporate</t>
        </is>
      </c>
      <c r="G43" s="9" t="inlineStr">
        <is>
          <t>North</t>
        </is>
      </c>
      <c r="H43" s="9" t="inlineStr">
        <is>
          <t>OFS-PA-02</t>
        </is>
      </c>
      <c r="I43" s="9" t="inlineStr">
        <is>
          <t>Office Supplies</t>
        </is>
      </c>
      <c r="J43" s="9" t="inlineStr">
        <is>
          <t>Paper</t>
        </is>
      </c>
      <c r="K43" s="11" t="n">
        <v>46.4</v>
      </c>
      <c r="L43" s="12" t="n">
        <v>8</v>
      </c>
      <c r="M43" s="13" t="n">
        <v>0.2</v>
      </c>
      <c r="N43" s="14" t="n">
        <v>6.72</v>
      </c>
      <c r="O43" s="9">
        <f>IF(N43&lt;0,"Loss","Profit")</f>
        <v/>
      </c>
    </row>
    <row r="44">
      <c r="A44" s="9" t="inlineStr">
        <is>
          <t>ORD-2016-0043</t>
        </is>
      </c>
      <c r="B44" s="10" t="n">
        <v>42489</v>
      </c>
      <c r="C44" s="9" t="inlineStr">
        <is>
          <t>Standard Class</t>
        </is>
      </c>
      <c r="D44" s="9" t="inlineStr">
        <is>
          <t>CU-1018</t>
        </is>
      </c>
      <c r="E44" s="9" t="inlineStr">
        <is>
          <t>Anvi Saxena</t>
        </is>
      </c>
      <c r="F44" s="9" t="inlineStr">
        <is>
          <t>Home Office</t>
        </is>
      </c>
      <c r="G44" s="9" t="inlineStr">
        <is>
          <t>South</t>
        </is>
      </c>
      <c r="H44" s="9" t="inlineStr">
        <is>
          <t>FUR-FN-02</t>
        </is>
      </c>
      <c r="I44" s="9" t="inlineStr">
        <is>
          <t>Furniture</t>
        </is>
      </c>
      <c r="J44" s="9" t="inlineStr">
        <is>
          <t>Furnishings</t>
        </is>
      </c>
      <c r="K44" s="11" t="n">
        <v>99.95999999999999</v>
      </c>
      <c r="L44" s="12" t="n">
        <v>5</v>
      </c>
      <c r="M44" s="13" t="n">
        <v>0.2</v>
      </c>
      <c r="N44" s="14" t="n">
        <v>-3.22</v>
      </c>
      <c r="O44" s="9">
        <f>IF(N44&lt;0,"Loss","Profit")</f>
        <v/>
      </c>
    </row>
    <row r="45">
      <c r="A45" s="9" t="inlineStr">
        <is>
          <t>ORD-2016-0044</t>
        </is>
      </c>
      <c r="B45" s="10" t="n">
        <v>42492</v>
      </c>
      <c r="C45" s="9" t="inlineStr">
        <is>
          <t>Second Class</t>
        </is>
      </c>
      <c r="D45" s="9" t="inlineStr">
        <is>
          <t>CU-1016</t>
        </is>
      </c>
      <c r="E45" s="9" t="inlineStr">
        <is>
          <t>Tara Bhatia</t>
        </is>
      </c>
      <c r="F45" s="9" t="inlineStr">
        <is>
          <t>Corporate</t>
        </is>
      </c>
      <c r="G45" s="9" t="inlineStr">
        <is>
          <t>North</t>
        </is>
      </c>
      <c r="H45" s="9" t="inlineStr">
        <is>
          <t>FUR-CH-02</t>
        </is>
      </c>
      <c r="I45" s="9" t="inlineStr">
        <is>
          <t>Furniture</t>
        </is>
      </c>
      <c r="J45" s="9" t="inlineStr">
        <is>
          <t>Chairs</t>
        </is>
      </c>
      <c r="K45" s="11" t="n">
        <v>779.98</v>
      </c>
      <c r="L45" s="12" t="n">
        <v>2</v>
      </c>
      <c r="M45" s="13" t="n">
        <v>0</v>
      </c>
      <c r="N45" s="14" t="n">
        <v>112.07</v>
      </c>
      <c r="O45" s="9">
        <f>IF(N45&lt;0,"Loss","Profit")</f>
        <v/>
      </c>
    </row>
    <row r="46">
      <c r="A46" s="9" t="inlineStr">
        <is>
          <t>ORD-2016-0045</t>
        </is>
      </c>
      <c r="B46" s="10" t="n">
        <v>42494</v>
      </c>
      <c r="C46" s="9" t="inlineStr">
        <is>
          <t>Standard Class</t>
        </is>
      </c>
      <c r="D46" s="9" t="inlineStr">
        <is>
          <t>CU-1011</t>
        </is>
      </c>
      <c r="E46" s="9" t="inlineStr">
        <is>
          <t>Reyansh Gupta</t>
        </is>
      </c>
      <c r="F46" s="9" t="inlineStr">
        <is>
          <t>Home Office</t>
        </is>
      </c>
      <c r="G46" s="9" t="inlineStr">
        <is>
          <t>North</t>
        </is>
      </c>
      <c r="H46" s="9" t="inlineStr">
        <is>
          <t>FUR-CH-03</t>
        </is>
      </c>
      <c r="I46" s="9" t="inlineStr">
        <is>
          <t>Furniture</t>
        </is>
      </c>
      <c r="J46" s="9" t="inlineStr">
        <is>
          <t>Chairs</t>
        </is>
      </c>
      <c r="K46" s="11" t="n">
        <v>414.4</v>
      </c>
      <c r="L46" s="12" t="n">
        <v>4</v>
      </c>
      <c r="M46" s="13" t="n">
        <v>0.2</v>
      </c>
      <c r="N46" s="14" t="n">
        <v>-5.09</v>
      </c>
      <c r="O46" s="9">
        <f>IF(N46&lt;0,"Loss","Profit")</f>
        <v/>
      </c>
    </row>
    <row r="47">
      <c r="A47" s="9" t="inlineStr">
        <is>
          <t>ORD-2016-0046</t>
        </is>
      </c>
      <c r="B47" s="10" t="n">
        <v>42495</v>
      </c>
      <c r="C47" s="9" t="inlineStr">
        <is>
          <t>First Class</t>
        </is>
      </c>
      <c r="D47" s="9" t="inlineStr">
        <is>
          <t>CU-1009</t>
        </is>
      </c>
      <c r="E47" s="9" t="inlineStr">
        <is>
          <t>Arjun Verma</t>
        </is>
      </c>
      <c r="F47" s="9" t="inlineStr">
        <is>
          <t>Corporate</t>
        </is>
      </c>
      <c r="G47" s="9" t="inlineStr">
        <is>
          <t>Central</t>
        </is>
      </c>
      <c r="H47" s="9" t="inlineStr">
        <is>
          <t>OFS-ST-02</t>
        </is>
      </c>
      <c r="I47" s="9" t="inlineStr">
        <is>
          <t>Office Supplies</t>
        </is>
      </c>
      <c r="J47" s="9" t="inlineStr">
        <is>
          <t>Storage</t>
        </is>
      </c>
      <c r="K47" s="11" t="n">
        <v>38.2</v>
      </c>
      <c r="L47" s="12" t="n">
        <v>1</v>
      </c>
      <c r="M47" s="13" t="n">
        <v>0</v>
      </c>
      <c r="N47" s="14" t="n">
        <v>9.359999999999999</v>
      </c>
      <c r="O47" s="9">
        <f>IF(N47&lt;0,"Loss","Profit")</f>
        <v/>
      </c>
    </row>
    <row r="48">
      <c r="A48" s="9" t="inlineStr">
        <is>
          <t>ORD-2016-0047</t>
        </is>
      </c>
      <c r="B48" s="10" t="n">
        <v>42501</v>
      </c>
      <c r="C48" s="9" t="inlineStr">
        <is>
          <t>Standard Class</t>
        </is>
      </c>
      <c r="D48" s="9" t="inlineStr">
        <is>
          <t>CU-1008</t>
        </is>
      </c>
      <c r="E48" s="9" t="inlineStr">
        <is>
          <t>Ishita Das</t>
        </is>
      </c>
      <c r="F48" s="9" t="inlineStr">
        <is>
          <t>Consumer</t>
        </is>
      </c>
      <c r="G48" s="9" t="inlineStr">
        <is>
          <t>East</t>
        </is>
      </c>
      <c r="H48" s="9" t="inlineStr">
        <is>
          <t>OFS-PA-01</t>
        </is>
      </c>
      <c r="I48" s="9" t="inlineStr">
        <is>
          <t>Office Supplies</t>
        </is>
      </c>
      <c r="J48" s="9" t="inlineStr">
        <is>
          <t>Paper</t>
        </is>
      </c>
      <c r="K48" s="11" t="n">
        <v>38.4</v>
      </c>
      <c r="L48" s="12" t="n">
        <v>4</v>
      </c>
      <c r="M48" s="13" t="n">
        <v>0</v>
      </c>
      <c r="N48" s="14" t="n">
        <v>4.14</v>
      </c>
      <c r="O48" s="9">
        <f>IF(N48&lt;0,"Loss","Profit")</f>
        <v/>
      </c>
    </row>
    <row r="49">
      <c r="A49" s="9" t="inlineStr">
        <is>
          <t>ORD-2016-0048</t>
        </is>
      </c>
      <c r="B49" s="10" t="n">
        <v>42503</v>
      </c>
      <c r="C49" s="9" t="inlineStr">
        <is>
          <t>Standard Class</t>
        </is>
      </c>
      <c r="D49" s="9" t="inlineStr">
        <is>
          <t>CU-1007</t>
        </is>
      </c>
      <c r="E49" s="9" t="inlineStr">
        <is>
          <t>Vihaan Rao</t>
        </is>
      </c>
      <c r="F49" s="9" t="inlineStr">
        <is>
          <t>Home Office</t>
        </is>
      </c>
      <c r="G49" s="9" t="inlineStr">
        <is>
          <t>Central</t>
        </is>
      </c>
      <c r="H49" s="9" t="inlineStr">
        <is>
          <t>TEC-AC-02</t>
        </is>
      </c>
      <c r="I49" s="9" t="inlineStr">
        <is>
          <t>Technology</t>
        </is>
      </c>
      <c r="J49" s="9" t="inlineStr">
        <is>
          <t>Accessories</t>
        </is>
      </c>
      <c r="K49" s="11" t="n">
        <v>151.2</v>
      </c>
      <c r="L49" s="12" t="n">
        <v>1</v>
      </c>
      <c r="M49" s="13" t="n">
        <v>0.2</v>
      </c>
      <c r="N49" s="14" t="n">
        <v>-9.51</v>
      </c>
      <c r="O49" s="9">
        <f>IF(N49&lt;0,"Loss","Profit")</f>
        <v/>
      </c>
    </row>
    <row r="50">
      <c r="A50" s="9" t="inlineStr">
        <is>
          <t>ORD-2016-0049</t>
        </is>
      </c>
      <c r="B50" s="10" t="n">
        <v>42503</v>
      </c>
      <c r="C50" s="9" t="inlineStr">
        <is>
          <t>Standard Class</t>
        </is>
      </c>
      <c r="D50" s="9" t="inlineStr">
        <is>
          <t>CU-1020</t>
        </is>
      </c>
      <c r="E50" s="9" t="inlineStr">
        <is>
          <t>Navya Reddy</t>
        </is>
      </c>
      <c r="F50" s="9" t="inlineStr">
        <is>
          <t>Consumer</t>
        </is>
      </c>
      <c r="G50" s="9" t="inlineStr">
        <is>
          <t>Central</t>
        </is>
      </c>
      <c r="H50" s="9" t="inlineStr">
        <is>
          <t>TEC-PH-01</t>
        </is>
      </c>
      <c r="I50" s="9" t="inlineStr">
        <is>
          <t>Technology</t>
        </is>
      </c>
      <c r="J50" s="9" t="inlineStr">
        <is>
          <t>Phones</t>
        </is>
      </c>
      <c r="K50" s="11" t="n">
        <v>1298</v>
      </c>
      <c r="L50" s="12" t="n">
        <v>2</v>
      </c>
      <c r="M50" s="13" t="n">
        <v>0</v>
      </c>
      <c r="N50" s="14" t="n">
        <v>155.92</v>
      </c>
      <c r="O50" s="9">
        <f>IF(N50&lt;0,"Loss","Profit")</f>
        <v/>
      </c>
    </row>
    <row r="51">
      <c r="A51" s="9" t="inlineStr">
        <is>
          <t>ORD-2016-0050</t>
        </is>
      </c>
      <c r="B51" s="10" t="n">
        <v>42504</v>
      </c>
      <c r="C51" s="9" t="inlineStr">
        <is>
          <t>Standard Class</t>
        </is>
      </c>
      <c r="D51" s="9" t="inlineStr">
        <is>
          <t>CU-1010</t>
        </is>
      </c>
      <c r="E51" s="9" t="inlineStr">
        <is>
          <t>Saanvi Joshi</t>
        </is>
      </c>
      <c r="F51" s="9" t="inlineStr">
        <is>
          <t>Consumer</t>
        </is>
      </c>
      <c r="G51" s="9" t="inlineStr">
        <is>
          <t>West</t>
        </is>
      </c>
      <c r="H51" s="9" t="inlineStr">
        <is>
          <t>OFS-AR-01</t>
        </is>
      </c>
      <c r="I51" s="9" t="inlineStr">
        <is>
          <t>Office Supplies</t>
        </is>
      </c>
      <c r="J51" s="9" t="inlineStr">
        <is>
          <t>Art</t>
        </is>
      </c>
      <c r="K51" s="11" t="n">
        <v>10.01</v>
      </c>
      <c r="L51" s="12" t="n">
        <v>1</v>
      </c>
      <c r="M51" s="13" t="n">
        <v>0.3</v>
      </c>
      <c r="N51" s="14" t="n">
        <v>-0.28</v>
      </c>
      <c r="O51" s="9">
        <f>IF(N51&lt;0,"Loss","Profit")</f>
        <v/>
      </c>
    </row>
    <row r="52">
      <c r="A52" s="9" t="inlineStr">
        <is>
          <t>ORD-2016-0051</t>
        </is>
      </c>
      <c r="B52" s="10" t="n">
        <v>42504</v>
      </c>
      <c r="C52" s="9" t="inlineStr">
        <is>
          <t>Standard Class</t>
        </is>
      </c>
      <c r="D52" s="9" t="inlineStr">
        <is>
          <t>CU-1017</t>
        </is>
      </c>
      <c r="E52" s="9" t="inlineStr">
        <is>
          <t>Ishaan Desai</t>
        </is>
      </c>
      <c r="F52" s="9" t="inlineStr">
        <is>
          <t>Consumer</t>
        </is>
      </c>
      <c r="G52" s="9" t="inlineStr">
        <is>
          <t>East</t>
        </is>
      </c>
      <c r="H52" s="9" t="inlineStr">
        <is>
          <t>TEC-PH-01</t>
        </is>
      </c>
      <c r="I52" s="9" t="inlineStr">
        <is>
          <t>Technology</t>
        </is>
      </c>
      <c r="J52" s="9" t="inlineStr">
        <is>
          <t>Phones</t>
        </is>
      </c>
      <c r="K52" s="11" t="n">
        <v>2725.8</v>
      </c>
      <c r="L52" s="12" t="n">
        <v>6</v>
      </c>
      <c r="M52" s="13" t="n">
        <v>0.3</v>
      </c>
      <c r="N52" s="14" t="n">
        <v>-44.86</v>
      </c>
      <c r="O52" s="9">
        <f>IF(N52&lt;0,"Loss","Profit")</f>
        <v/>
      </c>
    </row>
    <row r="53">
      <c r="A53" s="9" t="inlineStr">
        <is>
          <t>ORD-2016-0052</t>
        </is>
      </c>
      <c r="B53" s="10" t="n">
        <v>42505</v>
      </c>
      <c r="C53" s="9" t="inlineStr">
        <is>
          <t>Standard Class</t>
        </is>
      </c>
      <c r="D53" s="9" t="inlineStr">
        <is>
          <t>CU-1020</t>
        </is>
      </c>
      <c r="E53" s="9" t="inlineStr">
        <is>
          <t>Navya Reddy</t>
        </is>
      </c>
      <c r="F53" s="9" t="inlineStr">
        <is>
          <t>Consumer</t>
        </is>
      </c>
      <c r="G53" s="9" t="inlineStr">
        <is>
          <t>Central</t>
        </is>
      </c>
      <c r="H53" s="9" t="inlineStr">
        <is>
          <t>FUR-BK-01</t>
        </is>
      </c>
      <c r="I53" s="9" t="inlineStr">
        <is>
          <t>Furniture</t>
        </is>
      </c>
      <c r="J53" s="9" t="inlineStr">
        <is>
          <t>Bookcases</t>
        </is>
      </c>
      <c r="K53" s="11" t="n">
        <v>189</v>
      </c>
      <c r="L53" s="12" t="n">
        <v>1</v>
      </c>
      <c r="M53" s="13" t="n">
        <v>0.1</v>
      </c>
      <c r="N53" s="14" t="n">
        <v>7.13</v>
      </c>
      <c r="O53" s="9">
        <f>IF(N53&lt;0,"Loss","Profit")</f>
        <v/>
      </c>
    </row>
    <row r="54">
      <c r="A54" s="9" t="inlineStr">
        <is>
          <t>ORD-2016-0053</t>
        </is>
      </c>
      <c r="B54" s="10" t="n">
        <v>42521</v>
      </c>
      <c r="C54" s="9" t="inlineStr">
        <is>
          <t>Second Class</t>
        </is>
      </c>
      <c r="D54" s="9" t="inlineStr">
        <is>
          <t>CU-1010</t>
        </is>
      </c>
      <c r="E54" s="9" t="inlineStr">
        <is>
          <t>Saanvi Joshi</t>
        </is>
      </c>
      <c r="F54" s="9" t="inlineStr">
        <is>
          <t>Consumer</t>
        </is>
      </c>
      <c r="G54" s="9" t="inlineStr">
        <is>
          <t>West</t>
        </is>
      </c>
      <c r="H54" s="9" t="inlineStr">
        <is>
          <t>FUR-TB-02</t>
        </is>
      </c>
      <c r="I54" s="9" t="inlineStr">
        <is>
          <t>Furniture</t>
        </is>
      </c>
      <c r="J54" s="9" t="inlineStr">
        <is>
          <t>Tables</t>
        </is>
      </c>
      <c r="K54" s="11" t="n">
        <v>1092</v>
      </c>
      <c r="L54" s="12" t="n">
        <v>3</v>
      </c>
      <c r="M54" s="13" t="n">
        <v>0.3</v>
      </c>
      <c r="N54" s="14" t="n">
        <v>-143.61</v>
      </c>
      <c r="O54" s="9">
        <f>IF(N54&lt;0,"Loss","Profit")</f>
        <v/>
      </c>
    </row>
    <row r="55">
      <c r="A55" s="9" t="inlineStr">
        <is>
          <t>ORD-2016-0054</t>
        </is>
      </c>
      <c r="B55" s="10" t="n">
        <v>42535</v>
      </c>
      <c r="C55" s="9" t="inlineStr">
        <is>
          <t>Standard Class</t>
        </is>
      </c>
      <c r="D55" s="9" t="inlineStr">
        <is>
          <t>CU-1006</t>
        </is>
      </c>
      <c r="E55" s="9" t="inlineStr">
        <is>
          <t>Meera Nair</t>
        </is>
      </c>
      <c r="F55" s="9" t="inlineStr">
        <is>
          <t>Consumer</t>
        </is>
      </c>
      <c r="G55" s="9" t="inlineStr">
        <is>
          <t>South</t>
        </is>
      </c>
      <c r="H55" s="9" t="inlineStr">
        <is>
          <t>TEC-AC-02</t>
        </is>
      </c>
      <c r="I55" s="9" t="inlineStr">
        <is>
          <t>Technology</t>
        </is>
      </c>
      <c r="J55" s="9" t="inlineStr">
        <is>
          <t>Accessories</t>
        </is>
      </c>
      <c r="K55" s="11" t="n">
        <v>170.1</v>
      </c>
      <c r="L55" s="12" t="n">
        <v>1</v>
      </c>
      <c r="M55" s="13" t="n">
        <v>0.1</v>
      </c>
      <c r="N55" s="14" t="n">
        <v>8.720000000000001</v>
      </c>
      <c r="O55" s="9">
        <f>IF(N55&lt;0,"Loss","Profit")</f>
        <v/>
      </c>
    </row>
    <row r="56">
      <c r="A56" s="9" t="inlineStr">
        <is>
          <t>ORD-2016-0055</t>
        </is>
      </c>
      <c r="B56" s="10" t="n">
        <v>42536</v>
      </c>
      <c r="C56" s="9" t="inlineStr">
        <is>
          <t>Standard Class</t>
        </is>
      </c>
      <c r="D56" s="9" t="inlineStr">
        <is>
          <t>CU-1020</t>
        </is>
      </c>
      <c r="E56" s="9" t="inlineStr">
        <is>
          <t>Navya Reddy</t>
        </is>
      </c>
      <c r="F56" s="9" t="inlineStr">
        <is>
          <t>Consumer</t>
        </is>
      </c>
      <c r="G56" s="9" t="inlineStr">
        <is>
          <t>Central</t>
        </is>
      </c>
      <c r="H56" s="9" t="inlineStr">
        <is>
          <t>OFS-ST-01</t>
        </is>
      </c>
      <c r="I56" s="9" t="inlineStr">
        <is>
          <t>Office Supplies</t>
        </is>
      </c>
      <c r="J56" s="9" t="inlineStr">
        <is>
          <t>Storage</t>
        </is>
      </c>
      <c r="K56" s="11" t="n">
        <v>397.6</v>
      </c>
      <c r="L56" s="12" t="n">
        <v>4</v>
      </c>
      <c r="M56" s="13" t="n">
        <v>0.3</v>
      </c>
      <c r="N56" s="14" t="n">
        <v>5.02</v>
      </c>
      <c r="O56" s="9">
        <f>IF(N56&lt;0,"Loss","Profit")</f>
        <v/>
      </c>
    </row>
    <row r="57">
      <c r="A57" s="9" t="inlineStr">
        <is>
          <t>ORD-2016-0056</t>
        </is>
      </c>
      <c r="B57" s="10" t="n">
        <v>42540</v>
      </c>
      <c r="C57" s="9" t="inlineStr">
        <is>
          <t>Standard Class</t>
        </is>
      </c>
      <c r="D57" s="9" t="inlineStr">
        <is>
          <t>CU-1003</t>
        </is>
      </c>
      <c r="E57" s="9" t="inlineStr">
        <is>
          <t>Rohan Sharma</t>
        </is>
      </c>
      <c r="F57" s="9" t="inlineStr">
        <is>
          <t>Corporate</t>
        </is>
      </c>
      <c r="G57" s="9" t="inlineStr">
        <is>
          <t>North</t>
        </is>
      </c>
      <c r="H57" s="9" t="inlineStr">
        <is>
          <t>FUR-TB-02</t>
        </is>
      </c>
      <c r="I57" s="9" t="inlineStr">
        <is>
          <t>Furniture</t>
        </is>
      </c>
      <c r="J57" s="9" t="inlineStr">
        <is>
          <t>Tables</t>
        </is>
      </c>
      <c r="K57" s="11" t="n">
        <v>1820</v>
      </c>
      <c r="L57" s="12" t="n">
        <v>5</v>
      </c>
      <c r="M57" s="13" t="n">
        <v>0.3</v>
      </c>
      <c r="N57" s="14" t="n">
        <v>-158.75</v>
      </c>
      <c r="O57" s="9">
        <f>IF(N57&lt;0,"Loss","Profit")</f>
        <v/>
      </c>
    </row>
    <row r="58">
      <c r="A58" s="9" t="inlineStr">
        <is>
          <t>ORD-2016-0057</t>
        </is>
      </c>
      <c r="B58" s="10" t="n">
        <v>42541</v>
      </c>
      <c r="C58" s="9" t="inlineStr">
        <is>
          <t>Standard Class</t>
        </is>
      </c>
      <c r="D58" s="9" t="inlineStr">
        <is>
          <t>CU-1002</t>
        </is>
      </c>
      <c r="E58" s="9" t="inlineStr">
        <is>
          <t>Diya Kapoor</t>
        </is>
      </c>
      <c r="F58" s="9" t="inlineStr">
        <is>
          <t>Consumer</t>
        </is>
      </c>
      <c r="G58" s="9" t="inlineStr">
        <is>
          <t>East</t>
        </is>
      </c>
      <c r="H58" s="9" t="inlineStr">
        <is>
          <t>TEC-MA-01</t>
        </is>
      </c>
      <c r="I58" s="9" t="inlineStr">
        <is>
          <t>Technology</t>
        </is>
      </c>
      <c r="J58" s="9" t="inlineStr">
        <is>
          <t>Machines</t>
        </is>
      </c>
      <c r="K58" s="11" t="n">
        <v>2517.2</v>
      </c>
      <c r="L58" s="12" t="n">
        <v>4</v>
      </c>
      <c r="M58" s="13" t="n">
        <v>0.3</v>
      </c>
      <c r="N58" s="14" t="n">
        <v>237.6</v>
      </c>
      <c r="O58" s="9">
        <f>IF(N58&lt;0,"Loss","Profit")</f>
        <v/>
      </c>
    </row>
    <row r="59">
      <c r="A59" s="9" t="inlineStr">
        <is>
          <t>ORD-2016-0058</t>
        </is>
      </c>
      <c r="B59" s="10" t="n">
        <v>42545</v>
      </c>
      <c r="C59" s="9" t="inlineStr">
        <is>
          <t>First Class</t>
        </is>
      </c>
      <c r="D59" s="9" t="inlineStr">
        <is>
          <t>CU-1012</t>
        </is>
      </c>
      <c r="E59" s="9" t="inlineStr">
        <is>
          <t>Kiara Bose</t>
        </is>
      </c>
      <c r="F59" s="9" t="inlineStr">
        <is>
          <t>Corporate</t>
        </is>
      </c>
      <c r="G59" s="9" t="inlineStr">
        <is>
          <t>East</t>
        </is>
      </c>
      <c r="H59" s="9" t="inlineStr">
        <is>
          <t>TEC-PH-01</t>
        </is>
      </c>
      <c r="I59" s="9" t="inlineStr">
        <is>
          <t>Technology</t>
        </is>
      </c>
      <c r="J59" s="9" t="inlineStr">
        <is>
          <t>Phones</t>
        </is>
      </c>
      <c r="K59" s="11" t="n">
        <v>1947</v>
      </c>
      <c r="L59" s="12" t="n">
        <v>3</v>
      </c>
      <c r="M59" s="13" t="n">
        <v>0</v>
      </c>
      <c r="N59" s="14" t="n">
        <v>422.1</v>
      </c>
      <c r="O59" s="9">
        <f>IF(N59&lt;0,"Loss","Profit")</f>
        <v/>
      </c>
    </row>
    <row r="60">
      <c r="A60" s="9" t="inlineStr">
        <is>
          <t>ORD-2016-0059</t>
        </is>
      </c>
      <c r="B60" s="10" t="n">
        <v>42545</v>
      </c>
      <c r="C60" s="9" t="inlineStr">
        <is>
          <t>Standard Class</t>
        </is>
      </c>
      <c r="D60" s="9" t="inlineStr">
        <is>
          <t>CU-1018</t>
        </is>
      </c>
      <c r="E60" s="9" t="inlineStr">
        <is>
          <t>Anvi Saxena</t>
        </is>
      </c>
      <c r="F60" s="9" t="inlineStr">
        <is>
          <t>Home Office</t>
        </is>
      </c>
      <c r="G60" s="9" t="inlineStr">
        <is>
          <t>South</t>
        </is>
      </c>
      <c r="H60" s="9" t="inlineStr">
        <is>
          <t>FUR-CH-03</t>
        </is>
      </c>
      <c r="I60" s="9" t="inlineStr">
        <is>
          <t>Furniture</t>
        </is>
      </c>
      <c r="J60" s="9" t="inlineStr">
        <is>
          <t>Chairs</t>
        </is>
      </c>
      <c r="K60" s="11" t="n">
        <v>388.5</v>
      </c>
      <c r="L60" s="12" t="n">
        <v>5</v>
      </c>
      <c r="M60" s="13" t="n">
        <v>0.4</v>
      </c>
      <c r="N60" s="14" t="n">
        <v>-101.02</v>
      </c>
      <c r="O60" s="9">
        <f>IF(N60&lt;0,"Loss","Profit")</f>
        <v/>
      </c>
    </row>
    <row r="61">
      <c r="A61" s="9" t="inlineStr">
        <is>
          <t>ORD-2016-0060</t>
        </is>
      </c>
      <c r="B61" s="10" t="n">
        <v>42546</v>
      </c>
      <c r="C61" s="9" t="inlineStr">
        <is>
          <t>Second Class</t>
        </is>
      </c>
      <c r="D61" s="9" t="inlineStr">
        <is>
          <t>CU-1018</t>
        </is>
      </c>
      <c r="E61" s="9" t="inlineStr">
        <is>
          <t>Anvi Saxena</t>
        </is>
      </c>
      <c r="F61" s="9" t="inlineStr">
        <is>
          <t>Home Office</t>
        </is>
      </c>
      <c r="G61" s="9" t="inlineStr">
        <is>
          <t>South</t>
        </is>
      </c>
      <c r="H61" s="9" t="inlineStr">
        <is>
          <t>OFS-ST-02</t>
        </is>
      </c>
      <c r="I61" s="9" t="inlineStr">
        <is>
          <t>Office Supplies</t>
        </is>
      </c>
      <c r="J61" s="9" t="inlineStr">
        <is>
          <t>Storage</t>
        </is>
      </c>
      <c r="K61" s="11" t="n">
        <v>53.48</v>
      </c>
      <c r="L61" s="12" t="n">
        <v>2</v>
      </c>
      <c r="M61" s="13" t="n">
        <v>0.3</v>
      </c>
      <c r="N61" s="14" t="n">
        <v>-1.49</v>
      </c>
      <c r="O61" s="9">
        <f>IF(N61&lt;0,"Loss","Profit")</f>
        <v/>
      </c>
    </row>
    <row r="62">
      <c r="A62" s="9" t="inlineStr">
        <is>
          <t>ORD-2016-0061</t>
        </is>
      </c>
      <c r="B62" s="10" t="n">
        <v>42549</v>
      </c>
      <c r="C62" s="9" t="inlineStr">
        <is>
          <t>First Class</t>
        </is>
      </c>
      <c r="D62" s="9" t="inlineStr">
        <is>
          <t>CU-1014</t>
        </is>
      </c>
      <c r="E62" s="9" t="inlineStr">
        <is>
          <t>Myra Chawla</t>
        </is>
      </c>
      <c r="F62" s="9" t="inlineStr">
        <is>
          <t>Home Office</t>
        </is>
      </c>
      <c r="G62" s="9" t="inlineStr">
        <is>
          <t>West</t>
        </is>
      </c>
      <c r="H62" s="9" t="inlineStr">
        <is>
          <t>OFS-PA-02</t>
        </is>
      </c>
      <c r="I62" s="9" t="inlineStr">
        <is>
          <t>Office Supplies</t>
        </is>
      </c>
      <c r="J62" s="9" t="inlineStr">
        <is>
          <t>Paper</t>
        </is>
      </c>
      <c r="K62" s="11" t="n">
        <v>14.5</v>
      </c>
      <c r="L62" s="12" t="n">
        <v>2</v>
      </c>
      <c r="M62" s="13" t="n">
        <v>0</v>
      </c>
      <c r="N62" s="14" t="n">
        <v>2.91</v>
      </c>
      <c r="O62" s="9">
        <f>IF(N62&lt;0,"Loss","Profit")</f>
        <v/>
      </c>
    </row>
    <row r="63">
      <c r="A63" s="9" t="inlineStr">
        <is>
          <t>ORD-2016-0062</t>
        </is>
      </c>
      <c r="B63" s="10" t="n">
        <v>42551</v>
      </c>
      <c r="C63" s="9" t="inlineStr">
        <is>
          <t>Standard Class</t>
        </is>
      </c>
      <c r="D63" s="9" t="inlineStr">
        <is>
          <t>CU-1005</t>
        </is>
      </c>
      <c r="E63" s="9" t="inlineStr">
        <is>
          <t>Kabir Singh</t>
        </is>
      </c>
      <c r="F63" s="9" t="inlineStr">
        <is>
          <t>Corporate</t>
        </is>
      </c>
      <c r="G63" s="9" t="inlineStr">
        <is>
          <t>West</t>
        </is>
      </c>
      <c r="H63" s="9" t="inlineStr">
        <is>
          <t>TEC-PH-02</t>
        </is>
      </c>
      <c r="I63" s="9" t="inlineStr">
        <is>
          <t>Technology</t>
        </is>
      </c>
      <c r="J63" s="9" t="inlineStr">
        <is>
          <t>Phones</t>
        </is>
      </c>
      <c r="K63" s="11" t="n">
        <v>116.99</v>
      </c>
      <c r="L63" s="12" t="n">
        <v>1</v>
      </c>
      <c r="M63" s="13" t="n">
        <v>0.1</v>
      </c>
      <c r="N63" s="14" t="n">
        <v>-6.17</v>
      </c>
      <c r="O63" s="9">
        <f>IF(N63&lt;0,"Loss","Profit")</f>
        <v/>
      </c>
    </row>
    <row r="64">
      <c r="A64" s="9" t="inlineStr">
        <is>
          <t>ORD-2016-0063</t>
        </is>
      </c>
      <c r="B64" s="10" t="n">
        <v>42554</v>
      </c>
      <c r="C64" s="9" t="inlineStr">
        <is>
          <t>Standard Class</t>
        </is>
      </c>
      <c r="D64" s="9" t="inlineStr">
        <is>
          <t>CU-1013</t>
        </is>
      </c>
      <c r="E64" s="9" t="inlineStr">
        <is>
          <t>Aditya Pillai</t>
        </is>
      </c>
      <c r="F64" s="9" t="inlineStr">
        <is>
          <t>Consumer</t>
        </is>
      </c>
      <c r="G64" s="9" t="inlineStr">
        <is>
          <t>South</t>
        </is>
      </c>
      <c r="H64" s="9" t="inlineStr">
        <is>
          <t>FUR-CH-03</t>
        </is>
      </c>
      <c r="I64" s="9" t="inlineStr">
        <is>
          <t>Furniture</t>
        </is>
      </c>
      <c r="J64" s="9" t="inlineStr">
        <is>
          <t>Chairs</t>
        </is>
      </c>
      <c r="K64" s="11" t="n">
        <v>77.7</v>
      </c>
      <c r="L64" s="12" t="n">
        <v>1</v>
      </c>
      <c r="M64" s="13" t="n">
        <v>0.4</v>
      </c>
      <c r="N64" s="14" t="n">
        <v>-13.53</v>
      </c>
      <c r="O64" s="9">
        <f>IF(N64&lt;0,"Loss","Profit")</f>
        <v/>
      </c>
    </row>
    <row r="65">
      <c r="A65" s="9" t="inlineStr">
        <is>
          <t>ORD-2016-0064</t>
        </is>
      </c>
      <c r="B65" s="10" t="n">
        <v>42557</v>
      </c>
      <c r="C65" s="9" t="inlineStr">
        <is>
          <t>Same Day</t>
        </is>
      </c>
      <c r="D65" s="9" t="inlineStr">
        <is>
          <t>CU-1012</t>
        </is>
      </c>
      <c r="E65" s="9" t="inlineStr">
        <is>
          <t>Kiara Bose</t>
        </is>
      </c>
      <c r="F65" s="9" t="inlineStr">
        <is>
          <t>Corporate</t>
        </is>
      </c>
      <c r="G65" s="9" t="inlineStr">
        <is>
          <t>East</t>
        </is>
      </c>
      <c r="H65" s="9" t="inlineStr">
        <is>
          <t>TEC-PH-01</t>
        </is>
      </c>
      <c r="I65" s="9" t="inlineStr">
        <is>
          <t>Technology</t>
        </is>
      </c>
      <c r="J65" s="9" t="inlineStr">
        <is>
          <t>Phones</t>
        </is>
      </c>
      <c r="K65" s="11" t="n">
        <v>1817.2</v>
      </c>
      <c r="L65" s="12" t="n">
        <v>4</v>
      </c>
      <c r="M65" s="13" t="n">
        <v>0.3</v>
      </c>
      <c r="N65" s="14" t="n">
        <v>-90.36</v>
      </c>
      <c r="O65" s="9">
        <f>IF(N65&lt;0,"Loss","Profit")</f>
        <v/>
      </c>
    </row>
    <row r="66">
      <c r="A66" s="9" t="inlineStr">
        <is>
          <t>ORD-2016-0065</t>
        </is>
      </c>
      <c r="B66" s="10" t="n">
        <v>42561</v>
      </c>
      <c r="C66" s="9" t="inlineStr">
        <is>
          <t>Standard Class</t>
        </is>
      </c>
      <c r="D66" s="9" t="inlineStr">
        <is>
          <t>CU-1012</t>
        </is>
      </c>
      <c r="E66" s="9" t="inlineStr">
        <is>
          <t>Kiara Bose</t>
        </is>
      </c>
      <c r="F66" s="9" t="inlineStr">
        <is>
          <t>Corporate</t>
        </is>
      </c>
      <c r="G66" s="9" t="inlineStr">
        <is>
          <t>East</t>
        </is>
      </c>
      <c r="H66" s="9" t="inlineStr">
        <is>
          <t>FUR-CH-03</t>
        </is>
      </c>
      <c r="I66" s="9" t="inlineStr">
        <is>
          <t>Furniture</t>
        </is>
      </c>
      <c r="J66" s="9" t="inlineStr">
        <is>
          <t>Chairs</t>
        </is>
      </c>
      <c r="K66" s="11" t="n">
        <v>388.5</v>
      </c>
      <c r="L66" s="12" t="n">
        <v>3</v>
      </c>
      <c r="M66" s="13" t="n">
        <v>0</v>
      </c>
      <c r="N66" s="14" t="n">
        <v>-4.18</v>
      </c>
      <c r="O66" s="9">
        <f>IF(N66&lt;0,"Loss","Profit")</f>
        <v/>
      </c>
    </row>
    <row r="67">
      <c r="A67" s="9" t="inlineStr">
        <is>
          <t>ORD-2016-0066</t>
        </is>
      </c>
      <c r="B67" s="10" t="n">
        <v>42562</v>
      </c>
      <c r="C67" s="9" t="inlineStr">
        <is>
          <t>Standard Class</t>
        </is>
      </c>
      <c r="D67" s="9" t="inlineStr">
        <is>
          <t>CU-1002</t>
        </is>
      </c>
      <c r="E67" s="9" t="inlineStr">
        <is>
          <t>Diya Kapoor</t>
        </is>
      </c>
      <c r="F67" s="9" t="inlineStr">
        <is>
          <t>Consumer</t>
        </is>
      </c>
      <c r="G67" s="9" t="inlineStr">
        <is>
          <t>East</t>
        </is>
      </c>
      <c r="H67" s="9" t="inlineStr">
        <is>
          <t>OFS-BI-01</t>
        </is>
      </c>
      <c r="I67" s="9" t="inlineStr">
        <is>
          <t>Office Supplies</t>
        </is>
      </c>
      <c r="J67" s="9" t="inlineStr">
        <is>
          <t>Binders</t>
        </is>
      </c>
      <c r="K67" s="11" t="n">
        <v>34.2</v>
      </c>
      <c r="L67" s="12" t="n">
        <v>3</v>
      </c>
      <c r="M67" s="13" t="n">
        <v>0</v>
      </c>
      <c r="N67" s="14" t="n">
        <v>7.19</v>
      </c>
      <c r="O67" s="9">
        <f>IF(N67&lt;0,"Loss","Profit")</f>
        <v/>
      </c>
    </row>
    <row r="68">
      <c r="A68" s="9" t="inlineStr">
        <is>
          <t>ORD-2016-0067</t>
        </is>
      </c>
      <c r="B68" s="10" t="n">
        <v>42566</v>
      </c>
      <c r="C68" s="9" t="inlineStr">
        <is>
          <t>Standard Class</t>
        </is>
      </c>
      <c r="D68" s="9" t="inlineStr">
        <is>
          <t>CU-1005</t>
        </is>
      </c>
      <c r="E68" s="9" t="inlineStr">
        <is>
          <t>Kabir Singh</t>
        </is>
      </c>
      <c r="F68" s="9" t="inlineStr">
        <is>
          <t>Corporate</t>
        </is>
      </c>
      <c r="G68" s="9" t="inlineStr">
        <is>
          <t>West</t>
        </is>
      </c>
      <c r="H68" s="9" t="inlineStr">
        <is>
          <t>FUR-CH-02</t>
        </is>
      </c>
      <c r="I68" s="9" t="inlineStr">
        <is>
          <t>Furniture</t>
        </is>
      </c>
      <c r="J68" s="9" t="inlineStr">
        <is>
          <t>Chairs</t>
        </is>
      </c>
      <c r="K68" s="11" t="n">
        <v>701.98</v>
      </c>
      <c r="L68" s="12" t="n">
        <v>2</v>
      </c>
      <c r="M68" s="13" t="n">
        <v>0.1</v>
      </c>
      <c r="N68" s="14" t="n">
        <v>-41.7</v>
      </c>
      <c r="O68" s="9">
        <f>IF(N68&lt;0,"Loss","Profit")</f>
        <v/>
      </c>
    </row>
    <row r="69">
      <c r="A69" s="9" t="inlineStr">
        <is>
          <t>ORD-2016-0068</t>
        </is>
      </c>
      <c r="B69" s="10" t="n">
        <v>42567</v>
      </c>
      <c r="C69" s="9" t="inlineStr">
        <is>
          <t>Second Class</t>
        </is>
      </c>
      <c r="D69" s="9" t="inlineStr">
        <is>
          <t>CU-1012</t>
        </is>
      </c>
      <c r="E69" s="9" t="inlineStr">
        <is>
          <t>Kiara Bose</t>
        </is>
      </c>
      <c r="F69" s="9" t="inlineStr">
        <is>
          <t>Corporate</t>
        </is>
      </c>
      <c r="G69" s="9" t="inlineStr">
        <is>
          <t>East</t>
        </is>
      </c>
      <c r="H69" s="9" t="inlineStr">
        <is>
          <t>FUR-FN-01</t>
        </is>
      </c>
      <c r="I69" s="9" t="inlineStr">
        <is>
          <t>Furniture</t>
        </is>
      </c>
      <c r="J69" s="9" t="inlineStr">
        <is>
          <t>Furnishings</t>
        </is>
      </c>
      <c r="K69" s="11" t="n">
        <v>307.12</v>
      </c>
      <c r="L69" s="12" t="n">
        <v>7</v>
      </c>
      <c r="M69" s="13" t="n">
        <v>0.1</v>
      </c>
      <c r="N69" s="14" t="n">
        <v>-0.03</v>
      </c>
      <c r="O69" s="9">
        <f>IF(N69&lt;0,"Loss","Profit")</f>
        <v/>
      </c>
    </row>
    <row r="70">
      <c r="A70" s="9" t="inlineStr">
        <is>
          <t>ORD-2016-0069</t>
        </is>
      </c>
      <c r="B70" s="10" t="n">
        <v>42568</v>
      </c>
      <c r="C70" s="9" t="inlineStr">
        <is>
          <t>Standard Class</t>
        </is>
      </c>
      <c r="D70" s="9" t="inlineStr">
        <is>
          <t>CU-1018</t>
        </is>
      </c>
      <c r="E70" s="9" t="inlineStr">
        <is>
          <t>Anvi Saxena</t>
        </is>
      </c>
      <c r="F70" s="9" t="inlineStr">
        <is>
          <t>Home Office</t>
        </is>
      </c>
      <c r="G70" s="9" t="inlineStr">
        <is>
          <t>South</t>
        </is>
      </c>
      <c r="H70" s="9" t="inlineStr">
        <is>
          <t>FUR-CH-02</t>
        </is>
      </c>
      <c r="I70" s="9" t="inlineStr">
        <is>
          <t>Furniture</t>
        </is>
      </c>
      <c r="J70" s="9" t="inlineStr">
        <is>
          <t>Chairs</t>
        </is>
      </c>
      <c r="K70" s="11" t="n">
        <v>2183.94</v>
      </c>
      <c r="L70" s="12" t="n">
        <v>7</v>
      </c>
      <c r="M70" s="13" t="n">
        <v>0.2</v>
      </c>
      <c r="N70" s="14" t="n">
        <v>-43.45</v>
      </c>
      <c r="O70" s="9">
        <f>IF(N70&lt;0,"Loss","Profit")</f>
        <v/>
      </c>
    </row>
    <row r="71">
      <c r="A71" s="9" t="inlineStr">
        <is>
          <t>ORD-2016-0070</t>
        </is>
      </c>
      <c r="B71" s="10" t="n">
        <v>42570</v>
      </c>
      <c r="C71" s="9" t="inlineStr">
        <is>
          <t>Same Day</t>
        </is>
      </c>
      <c r="D71" s="9" t="inlineStr">
        <is>
          <t>CU-1015</t>
        </is>
      </c>
      <c r="E71" s="9" t="inlineStr">
        <is>
          <t>Ved Malhotra</t>
        </is>
      </c>
      <c r="F71" s="9" t="inlineStr">
        <is>
          <t>Consumer</t>
        </is>
      </c>
      <c r="G71" s="9" t="inlineStr">
        <is>
          <t>Central</t>
        </is>
      </c>
      <c r="H71" s="9" t="inlineStr">
        <is>
          <t>TEC-MA-01</t>
        </is>
      </c>
      <c r="I71" s="9" t="inlineStr">
        <is>
          <t>Technology</t>
        </is>
      </c>
      <c r="J71" s="9" t="inlineStr">
        <is>
          <t>Machines</t>
        </is>
      </c>
      <c r="K71" s="11" t="n">
        <v>3146.5</v>
      </c>
      <c r="L71" s="12" t="n">
        <v>5</v>
      </c>
      <c r="M71" s="13" t="n">
        <v>0.3</v>
      </c>
      <c r="N71" s="14" t="n">
        <v>147.16</v>
      </c>
      <c r="O71" s="9">
        <f>IF(N71&lt;0,"Loss","Profit")</f>
        <v/>
      </c>
    </row>
    <row r="72">
      <c r="A72" s="9" t="inlineStr">
        <is>
          <t>ORD-2016-0071</t>
        </is>
      </c>
      <c r="B72" s="10" t="n">
        <v>42571</v>
      </c>
      <c r="C72" s="9" t="inlineStr">
        <is>
          <t>Second Class</t>
        </is>
      </c>
      <c r="D72" s="9" t="inlineStr">
        <is>
          <t>CU-1001</t>
        </is>
      </c>
      <c r="E72" s="9" t="inlineStr">
        <is>
          <t>Aarav Mehta</t>
        </is>
      </c>
      <c r="F72" s="9" t="inlineStr">
        <is>
          <t>Consumer</t>
        </is>
      </c>
      <c r="G72" s="9" t="inlineStr">
        <is>
          <t>West</t>
        </is>
      </c>
      <c r="H72" s="9" t="inlineStr">
        <is>
          <t>OFS-ST-02</t>
        </is>
      </c>
      <c r="I72" s="9" t="inlineStr">
        <is>
          <t>Office Supplies</t>
        </is>
      </c>
      <c r="J72" s="9" t="inlineStr">
        <is>
          <t>Storage</t>
        </is>
      </c>
      <c r="K72" s="11" t="n">
        <v>38.2</v>
      </c>
      <c r="L72" s="12" t="n">
        <v>1</v>
      </c>
      <c r="M72" s="13" t="n">
        <v>0</v>
      </c>
      <c r="N72" s="14" t="n">
        <v>5.5</v>
      </c>
      <c r="O72" s="9">
        <f>IF(N72&lt;0,"Loss","Profit")</f>
        <v/>
      </c>
    </row>
    <row r="73">
      <c r="A73" s="9" t="inlineStr">
        <is>
          <t>ORD-2016-0072</t>
        </is>
      </c>
      <c r="B73" s="10" t="n">
        <v>42572</v>
      </c>
      <c r="C73" s="9" t="inlineStr">
        <is>
          <t>Standard Class</t>
        </is>
      </c>
      <c r="D73" s="9" t="inlineStr">
        <is>
          <t>CU-1001</t>
        </is>
      </c>
      <c r="E73" s="9" t="inlineStr">
        <is>
          <t>Aarav Mehta</t>
        </is>
      </c>
      <c r="F73" s="9" t="inlineStr">
        <is>
          <t>Consumer</t>
        </is>
      </c>
      <c r="G73" s="9" t="inlineStr">
        <is>
          <t>West</t>
        </is>
      </c>
      <c r="H73" s="9" t="inlineStr">
        <is>
          <t>OFS-ST-01</t>
        </is>
      </c>
      <c r="I73" s="9" t="inlineStr">
        <is>
          <t>Office Supplies</t>
        </is>
      </c>
      <c r="J73" s="9" t="inlineStr">
        <is>
          <t>Storage</t>
        </is>
      </c>
      <c r="K73" s="11" t="n">
        <v>284</v>
      </c>
      <c r="L73" s="12" t="n">
        <v>2</v>
      </c>
      <c r="M73" s="13" t="n">
        <v>0</v>
      </c>
      <c r="N73" s="14" t="n">
        <v>54.35</v>
      </c>
      <c r="O73" s="9">
        <f>IF(N73&lt;0,"Loss","Profit")</f>
        <v/>
      </c>
    </row>
    <row r="74">
      <c r="A74" s="9" t="inlineStr">
        <is>
          <t>ORD-2016-0073</t>
        </is>
      </c>
      <c r="B74" s="10" t="n">
        <v>42580</v>
      </c>
      <c r="C74" s="9" t="inlineStr">
        <is>
          <t>Standard Class</t>
        </is>
      </c>
      <c r="D74" s="9" t="inlineStr">
        <is>
          <t>CU-1005</t>
        </is>
      </c>
      <c r="E74" s="9" t="inlineStr">
        <is>
          <t>Kabir Singh</t>
        </is>
      </c>
      <c r="F74" s="9" t="inlineStr">
        <is>
          <t>Corporate</t>
        </is>
      </c>
      <c r="G74" s="9" t="inlineStr">
        <is>
          <t>West</t>
        </is>
      </c>
      <c r="H74" s="9" t="inlineStr">
        <is>
          <t>FUR-BK-01</t>
        </is>
      </c>
      <c r="I74" s="9" t="inlineStr">
        <is>
          <t>Furniture</t>
        </is>
      </c>
      <c r="J74" s="9" t="inlineStr">
        <is>
          <t>Bookcases</t>
        </is>
      </c>
      <c r="K74" s="11" t="n">
        <v>294</v>
      </c>
      <c r="L74" s="12" t="n">
        <v>2</v>
      </c>
      <c r="M74" s="13" t="n">
        <v>0.3</v>
      </c>
      <c r="N74" s="14" t="n">
        <v>-68.23</v>
      </c>
      <c r="O74" s="9">
        <f>IF(N74&lt;0,"Loss","Profit")</f>
        <v/>
      </c>
    </row>
    <row r="75">
      <c r="A75" s="9" t="inlineStr">
        <is>
          <t>ORD-2016-0074</t>
        </is>
      </c>
      <c r="B75" s="10" t="n">
        <v>42585</v>
      </c>
      <c r="C75" s="9" t="inlineStr">
        <is>
          <t>Second Class</t>
        </is>
      </c>
      <c r="D75" s="9" t="inlineStr">
        <is>
          <t>CU-1013</t>
        </is>
      </c>
      <c r="E75" s="9" t="inlineStr">
        <is>
          <t>Aditya Pillai</t>
        </is>
      </c>
      <c r="F75" s="9" t="inlineStr">
        <is>
          <t>Consumer</t>
        </is>
      </c>
      <c r="G75" s="9" t="inlineStr">
        <is>
          <t>South</t>
        </is>
      </c>
      <c r="H75" s="9" t="inlineStr">
        <is>
          <t>FUR-TB-01</t>
        </is>
      </c>
      <c r="I75" s="9" t="inlineStr">
        <is>
          <t>Furniture</t>
        </is>
      </c>
      <c r="J75" s="9" t="inlineStr">
        <is>
          <t>Tables</t>
        </is>
      </c>
      <c r="K75" s="11" t="n">
        <v>1180</v>
      </c>
      <c r="L75" s="12" t="n">
        <v>1</v>
      </c>
      <c r="M75" s="13" t="n">
        <v>0</v>
      </c>
      <c r="N75" s="14" t="n">
        <v>34.73</v>
      </c>
      <c r="O75" s="9">
        <f>IF(N75&lt;0,"Loss","Profit")</f>
        <v/>
      </c>
    </row>
    <row r="76">
      <c r="A76" s="9" t="inlineStr">
        <is>
          <t>ORD-2016-0075</t>
        </is>
      </c>
      <c r="B76" s="10" t="n">
        <v>42586</v>
      </c>
      <c r="C76" s="9" t="inlineStr">
        <is>
          <t>Standard Class</t>
        </is>
      </c>
      <c r="D76" s="9" t="inlineStr">
        <is>
          <t>CU-1002</t>
        </is>
      </c>
      <c r="E76" s="9" t="inlineStr">
        <is>
          <t>Diya Kapoor</t>
        </is>
      </c>
      <c r="F76" s="9" t="inlineStr">
        <is>
          <t>Consumer</t>
        </is>
      </c>
      <c r="G76" s="9" t="inlineStr">
        <is>
          <t>East</t>
        </is>
      </c>
      <c r="H76" s="9" t="inlineStr">
        <is>
          <t>OFS-ST-02</t>
        </is>
      </c>
      <c r="I76" s="9" t="inlineStr">
        <is>
          <t>Office Supplies</t>
        </is>
      </c>
      <c r="J76" s="9" t="inlineStr">
        <is>
          <t>Storage</t>
        </is>
      </c>
      <c r="K76" s="11" t="n">
        <v>38.2</v>
      </c>
      <c r="L76" s="12" t="n">
        <v>1</v>
      </c>
      <c r="M76" s="13" t="n">
        <v>0</v>
      </c>
      <c r="N76" s="14" t="n">
        <v>4.28</v>
      </c>
      <c r="O76" s="9">
        <f>IF(N76&lt;0,"Loss","Profit")</f>
        <v/>
      </c>
    </row>
    <row r="77">
      <c r="A77" s="9" t="inlineStr">
        <is>
          <t>ORD-2016-0076</t>
        </is>
      </c>
      <c r="B77" s="10" t="n">
        <v>42592</v>
      </c>
      <c r="C77" s="9" t="inlineStr">
        <is>
          <t>Standard Class</t>
        </is>
      </c>
      <c r="D77" s="9" t="inlineStr">
        <is>
          <t>CU-1007</t>
        </is>
      </c>
      <c r="E77" s="9" t="inlineStr">
        <is>
          <t>Vihaan Rao</t>
        </is>
      </c>
      <c r="F77" s="9" t="inlineStr">
        <is>
          <t>Home Office</t>
        </is>
      </c>
      <c r="G77" s="9" t="inlineStr">
        <is>
          <t>Central</t>
        </is>
      </c>
      <c r="H77" s="9" t="inlineStr">
        <is>
          <t>TEC-PH-01</t>
        </is>
      </c>
      <c r="I77" s="9" t="inlineStr">
        <is>
          <t>Technology</t>
        </is>
      </c>
      <c r="J77" s="9" t="inlineStr">
        <is>
          <t>Phones</t>
        </is>
      </c>
      <c r="K77" s="11" t="n">
        <v>3894</v>
      </c>
      <c r="L77" s="12" t="n">
        <v>6</v>
      </c>
      <c r="M77" s="13" t="n">
        <v>0</v>
      </c>
      <c r="N77" s="14" t="n">
        <v>366.46</v>
      </c>
      <c r="O77" s="9">
        <f>IF(N77&lt;0,"Loss","Profit")</f>
        <v/>
      </c>
    </row>
    <row r="78">
      <c r="A78" s="9" t="inlineStr">
        <is>
          <t>ORD-2016-0077</t>
        </is>
      </c>
      <c r="B78" s="10" t="n">
        <v>42592</v>
      </c>
      <c r="C78" s="9" t="inlineStr">
        <is>
          <t>Standard Class</t>
        </is>
      </c>
      <c r="D78" s="9" t="inlineStr">
        <is>
          <t>CU-1016</t>
        </is>
      </c>
      <c r="E78" s="9" t="inlineStr">
        <is>
          <t>Tara Bhatia</t>
        </is>
      </c>
      <c r="F78" s="9" t="inlineStr">
        <is>
          <t>Corporate</t>
        </is>
      </c>
      <c r="G78" s="9" t="inlineStr">
        <is>
          <t>North</t>
        </is>
      </c>
      <c r="H78" s="9" t="inlineStr">
        <is>
          <t>FUR-BK-01</t>
        </is>
      </c>
      <c r="I78" s="9" t="inlineStr">
        <is>
          <t>Furniture</t>
        </is>
      </c>
      <c r="J78" s="9" t="inlineStr">
        <is>
          <t>Bookcases</t>
        </is>
      </c>
      <c r="K78" s="11" t="n">
        <v>210</v>
      </c>
      <c r="L78" s="12" t="n">
        <v>1</v>
      </c>
      <c r="M78" s="13" t="n">
        <v>0</v>
      </c>
      <c r="N78" s="14" t="n">
        <v>-12.68</v>
      </c>
      <c r="O78" s="9">
        <f>IF(N78&lt;0,"Loss","Profit")</f>
        <v/>
      </c>
    </row>
    <row r="79">
      <c r="A79" s="9" t="inlineStr">
        <is>
          <t>ORD-2016-0078</t>
        </is>
      </c>
      <c r="B79" s="10" t="n">
        <v>42595</v>
      </c>
      <c r="C79" s="9" t="inlineStr">
        <is>
          <t>Second Class</t>
        </is>
      </c>
      <c r="D79" s="9" t="inlineStr">
        <is>
          <t>CU-1017</t>
        </is>
      </c>
      <c r="E79" s="9" t="inlineStr">
        <is>
          <t>Ishaan Desai</t>
        </is>
      </c>
      <c r="F79" s="9" t="inlineStr">
        <is>
          <t>Consumer</t>
        </is>
      </c>
      <c r="G79" s="9" t="inlineStr">
        <is>
          <t>East</t>
        </is>
      </c>
      <c r="H79" s="9" t="inlineStr">
        <is>
          <t>FUR-CH-02</t>
        </is>
      </c>
      <c r="I79" s="9" t="inlineStr">
        <is>
          <t>Furniture</t>
        </is>
      </c>
      <c r="J79" s="9" t="inlineStr">
        <is>
          <t>Chairs</t>
        </is>
      </c>
      <c r="K79" s="11" t="n">
        <v>1949.95</v>
      </c>
      <c r="L79" s="12" t="n">
        <v>5</v>
      </c>
      <c r="M79" s="13" t="n">
        <v>0</v>
      </c>
      <c r="N79" s="14" t="n">
        <v>5.11</v>
      </c>
      <c r="O79" s="9">
        <f>IF(N79&lt;0,"Loss","Profit")</f>
        <v/>
      </c>
    </row>
    <row r="80">
      <c r="A80" s="9" t="inlineStr">
        <is>
          <t>ORD-2016-0079</t>
        </is>
      </c>
      <c r="B80" s="10" t="n">
        <v>42596</v>
      </c>
      <c r="C80" s="9" t="inlineStr">
        <is>
          <t>Same Day</t>
        </is>
      </c>
      <c r="D80" s="9" t="inlineStr">
        <is>
          <t>CU-1018</t>
        </is>
      </c>
      <c r="E80" s="9" t="inlineStr">
        <is>
          <t>Anvi Saxena</t>
        </is>
      </c>
      <c r="F80" s="9" t="inlineStr">
        <is>
          <t>Home Office</t>
        </is>
      </c>
      <c r="G80" s="9" t="inlineStr">
        <is>
          <t>South</t>
        </is>
      </c>
      <c r="H80" s="9" t="inlineStr">
        <is>
          <t>OFS-ST-02</t>
        </is>
      </c>
      <c r="I80" s="9" t="inlineStr">
        <is>
          <t>Office Supplies</t>
        </is>
      </c>
      <c r="J80" s="9" t="inlineStr">
        <is>
          <t>Storage</t>
        </is>
      </c>
      <c r="K80" s="11" t="n">
        <v>114.6</v>
      </c>
      <c r="L80" s="12" t="n">
        <v>3</v>
      </c>
      <c r="M80" s="13" t="n">
        <v>0</v>
      </c>
      <c r="N80" s="14" t="n">
        <v>27.73</v>
      </c>
      <c r="O80" s="9">
        <f>IF(N80&lt;0,"Loss","Profit")</f>
        <v/>
      </c>
    </row>
    <row r="81">
      <c r="A81" s="9" t="inlineStr">
        <is>
          <t>ORD-2016-0080</t>
        </is>
      </c>
      <c r="B81" s="10" t="n">
        <v>42601</v>
      </c>
      <c r="C81" s="9" t="inlineStr">
        <is>
          <t>Same Day</t>
        </is>
      </c>
      <c r="D81" s="9" t="inlineStr">
        <is>
          <t>CU-1005</t>
        </is>
      </c>
      <c r="E81" s="9" t="inlineStr">
        <is>
          <t>Kabir Singh</t>
        </is>
      </c>
      <c r="F81" s="9" t="inlineStr">
        <is>
          <t>Corporate</t>
        </is>
      </c>
      <c r="G81" s="9" t="inlineStr">
        <is>
          <t>West</t>
        </is>
      </c>
      <c r="H81" s="9" t="inlineStr">
        <is>
          <t>FUR-TB-02</t>
        </is>
      </c>
      <c r="I81" s="9" t="inlineStr">
        <is>
          <t>Furniture</t>
        </is>
      </c>
      <c r="J81" s="9" t="inlineStr">
        <is>
          <t>Tables</t>
        </is>
      </c>
      <c r="K81" s="11" t="n">
        <v>1040</v>
      </c>
      <c r="L81" s="12" t="n">
        <v>2</v>
      </c>
      <c r="M81" s="13" t="n">
        <v>0</v>
      </c>
      <c r="N81" s="14" t="n">
        <v>51.42</v>
      </c>
      <c r="O81" s="9">
        <f>IF(N81&lt;0,"Loss","Profit")</f>
        <v/>
      </c>
    </row>
    <row r="82">
      <c r="A82" s="9" t="inlineStr">
        <is>
          <t>ORD-2016-0081</t>
        </is>
      </c>
      <c r="B82" s="10" t="n">
        <v>42601</v>
      </c>
      <c r="C82" s="9" t="inlineStr">
        <is>
          <t>Standard Class</t>
        </is>
      </c>
      <c r="D82" s="9" t="inlineStr">
        <is>
          <t>CU-1012</t>
        </is>
      </c>
      <c r="E82" s="9" t="inlineStr">
        <is>
          <t>Kiara Bose</t>
        </is>
      </c>
      <c r="F82" s="9" t="inlineStr">
        <is>
          <t>Corporate</t>
        </is>
      </c>
      <c r="G82" s="9" t="inlineStr">
        <is>
          <t>East</t>
        </is>
      </c>
      <c r="H82" s="9" t="inlineStr">
        <is>
          <t>OFS-ST-02</t>
        </is>
      </c>
      <c r="I82" s="9" t="inlineStr">
        <is>
          <t>Office Supplies</t>
        </is>
      </c>
      <c r="J82" s="9" t="inlineStr">
        <is>
          <t>Storage</t>
        </is>
      </c>
      <c r="K82" s="11" t="n">
        <v>68.76000000000001</v>
      </c>
      <c r="L82" s="12" t="n">
        <v>2</v>
      </c>
      <c r="M82" s="13" t="n">
        <v>0.1</v>
      </c>
      <c r="N82" s="14" t="n">
        <v>12.02</v>
      </c>
      <c r="O82" s="9">
        <f>IF(N82&lt;0,"Loss","Profit")</f>
        <v/>
      </c>
    </row>
    <row r="83">
      <c r="A83" s="9" t="inlineStr">
        <is>
          <t>ORD-2016-0082</t>
        </is>
      </c>
      <c r="B83" s="10" t="n">
        <v>42605</v>
      </c>
      <c r="C83" s="9" t="inlineStr">
        <is>
          <t>Standard Class</t>
        </is>
      </c>
      <c r="D83" s="9" t="inlineStr">
        <is>
          <t>CU-1007</t>
        </is>
      </c>
      <c r="E83" s="9" t="inlineStr">
        <is>
          <t>Vihaan Rao</t>
        </is>
      </c>
      <c r="F83" s="9" t="inlineStr">
        <is>
          <t>Home Office</t>
        </is>
      </c>
      <c r="G83" s="9" t="inlineStr">
        <is>
          <t>Central</t>
        </is>
      </c>
      <c r="H83" s="9" t="inlineStr">
        <is>
          <t>TEC-MA-01</t>
        </is>
      </c>
      <c r="I83" s="9" t="inlineStr">
        <is>
          <t>Technology</t>
        </is>
      </c>
      <c r="J83" s="9" t="inlineStr">
        <is>
          <t>Machines</t>
        </is>
      </c>
      <c r="K83" s="11" t="n">
        <v>2157.6</v>
      </c>
      <c r="L83" s="12" t="n">
        <v>3</v>
      </c>
      <c r="M83" s="13" t="n">
        <v>0.2</v>
      </c>
      <c r="N83" s="14" t="n">
        <v>-81.33</v>
      </c>
      <c r="O83" s="9">
        <f>IF(N83&lt;0,"Loss","Profit")</f>
        <v/>
      </c>
    </row>
    <row r="84">
      <c r="A84" s="9" t="inlineStr">
        <is>
          <t>ORD-2016-0083</t>
        </is>
      </c>
      <c r="B84" s="10" t="n">
        <v>42610</v>
      </c>
      <c r="C84" s="9" t="inlineStr">
        <is>
          <t>Standard Class</t>
        </is>
      </c>
      <c r="D84" s="9" t="inlineStr">
        <is>
          <t>CU-1008</t>
        </is>
      </c>
      <c r="E84" s="9" t="inlineStr">
        <is>
          <t>Ishita Das</t>
        </is>
      </c>
      <c r="F84" s="9" t="inlineStr">
        <is>
          <t>Consumer</t>
        </is>
      </c>
      <c r="G84" s="9" t="inlineStr">
        <is>
          <t>East</t>
        </is>
      </c>
      <c r="H84" s="9" t="inlineStr">
        <is>
          <t>OFS-ST-01</t>
        </is>
      </c>
      <c r="I84" s="9" t="inlineStr">
        <is>
          <t>Office Supplies</t>
        </is>
      </c>
      <c r="J84" s="9" t="inlineStr">
        <is>
          <t>Storage</t>
        </is>
      </c>
      <c r="K84" s="11" t="n">
        <v>85.2</v>
      </c>
      <c r="L84" s="12" t="n">
        <v>1</v>
      </c>
      <c r="M84" s="13" t="n">
        <v>0.4</v>
      </c>
      <c r="N84" s="14" t="n">
        <v>-10.6</v>
      </c>
      <c r="O84" s="9">
        <f>IF(N84&lt;0,"Loss","Profit")</f>
        <v/>
      </c>
    </row>
    <row r="85">
      <c r="A85" s="9" t="inlineStr">
        <is>
          <t>ORD-2016-0084</t>
        </is>
      </c>
      <c r="B85" s="10" t="n">
        <v>42612</v>
      </c>
      <c r="C85" s="9" t="inlineStr">
        <is>
          <t>Standard Class</t>
        </is>
      </c>
      <c r="D85" s="9" t="inlineStr">
        <is>
          <t>CU-1010</t>
        </is>
      </c>
      <c r="E85" s="9" t="inlineStr">
        <is>
          <t>Saanvi Joshi</t>
        </is>
      </c>
      <c r="F85" s="9" t="inlineStr">
        <is>
          <t>Consumer</t>
        </is>
      </c>
      <c r="G85" s="9" t="inlineStr">
        <is>
          <t>West</t>
        </is>
      </c>
      <c r="H85" s="9" t="inlineStr">
        <is>
          <t>FUR-TB-02</t>
        </is>
      </c>
      <c r="I85" s="9" t="inlineStr">
        <is>
          <t>Furniture</t>
        </is>
      </c>
      <c r="J85" s="9" t="inlineStr">
        <is>
          <t>Tables</t>
        </is>
      </c>
      <c r="K85" s="11" t="n">
        <v>468</v>
      </c>
      <c r="L85" s="12" t="n">
        <v>1</v>
      </c>
      <c r="M85" s="13" t="n">
        <v>0.1</v>
      </c>
      <c r="N85" s="14" t="n">
        <v>-45.76</v>
      </c>
      <c r="O85" s="9">
        <f>IF(N85&lt;0,"Loss","Profit")</f>
        <v/>
      </c>
    </row>
    <row r="86">
      <c r="A86" s="9" t="inlineStr">
        <is>
          <t>ORD-2016-0085</t>
        </is>
      </c>
      <c r="B86" s="10" t="n">
        <v>42613</v>
      </c>
      <c r="C86" s="9" t="inlineStr">
        <is>
          <t>Standard Class</t>
        </is>
      </c>
      <c r="D86" s="9" t="inlineStr">
        <is>
          <t>CU-1016</t>
        </is>
      </c>
      <c r="E86" s="9" t="inlineStr">
        <is>
          <t>Tara Bhatia</t>
        </is>
      </c>
      <c r="F86" s="9" t="inlineStr">
        <is>
          <t>Corporate</t>
        </is>
      </c>
      <c r="G86" s="9" t="inlineStr">
        <is>
          <t>North</t>
        </is>
      </c>
      <c r="H86" s="9" t="inlineStr">
        <is>
          <t>OFS-ST-02</t>
        </is>
      </c>
      <c r="I86" s="9" t="inlineStr">
        <is>
          <t>Office Supplies</t>
        </is>
      </c>
      <c r="J86" s="9" t="inlineStr">
        <is>
          <t>Storage</t>
        </is>
      </c>
      <c r="K86" s="11" t="n">
        <v>160.44</v>
      </c>
      <c r="L86" s="12" t="n">
        <v>6</v>
      </c>
      <c r="M86" s="13" t="n">
        <v>0.3</v>
      </c>
      <c r="N86" s="14" t="n">
        <v>6.9</v>
      </c>
      <c r="O86" s="9">
        <f>IF(N86&lt;0,"Loss","Profit")</f>
        <v/>
      </c>
    </row>
    <row r="87">
      <c r="A87" s="9" t="inlineStr">
        <is>
          <t>ORD-2016-0086</t>
        </is>
      </c>
      <c r="B87" s="10" t="n">
        <v>42613</v>
      </c>
      <c r="C87" s="9" t="inlineStr">
        <is>
          <t>Standard Class</t>
        </is>
      </c>
      <c r="D87" s="9" t="inlineStr">
        <is>
          <t>CU-1019</t>
        </is>
      </c>
      <c r="E87" s="9" t="inlineStr">
        <is>
          <t>Dhruv Agarwal</t>
        </is>
      </c>
      <c r="F87" s="9" t="inlineStr">
        <is>
          <t>Corporate</t>
        </is>
      </c>
      <c r="G87" s="9" t="inlineStr">
        <is>
          <t>West</t>
        </is>
      </c>
      <c r="H87" s="9" t="inlineStr">
        <is>
          <t>FUR-FN-02</t>
        </is>
      </c>
      <c r="I87" s="9" t="inlineStr">
        <is>
          <t>Furniture</t>
        </is>
      </c>
      <c r="J87" s="9" t="inlineStr">
        <is>
          <t>Furnishings</t>
        </is>
      </c>
      <c r="K87" s="11" t="n">
        <v>22.49</v>
      </c>
      <c r="L87" s="12" t="n">
        <v>1</v>
      </c>
      <c r="M87" s="13" t="n">
        <v>0.1</v>
      </c>
      <c r="N87" s="14" t="n">
        <v>2.36</v>
      </c>
      <c r="O87" s="9">
        <f>IF(N87&lt;0,"Loss","Profit")</f>
        <v/>
      </c>
    </row>
    <row r="88">
      <c r="A88" s="9" t="inlineStr">
        <is>
          <t>ORD-2016-0087</t>
        </is>
      </c>
      <c r="B88" s="10" t="n">
        <v>42614</v>
      </c>
      <c r="C88" s="9" t="inlineStr">
        <is>
          <t>Standard Class</t>
        </is>
      </c>
      <c r="D88" s="9" t="inlineStr">
        <is>
          <t>CU-1007</t>
        </is>
      </c>
      <c r="E88" s="9" t="inlineStr">
        <is>
          <t>Vihaan Rao</t>
        </is>
      </c>
      <c r="F88" s="9" t="inlineStr">
        <is>
          <t>Home Office</t>
        </is>
      </c>
      <c r="G88" s="9" t="inlineStr">
        <is>
          <t>Central</t>
        </is>
      </c>
      <c r="H88" s="9" t="inlineStr">
        <is>
          <t>OFS-BI-01</t>
        </is>
      </c>
      <c r="I88" s="9" t="inlineStr">
        <is>
          <t>Office Supplies</t>
        </is>
      </c>
      <c r="J88" s="9" t="inlineStr">
        <is>
          <t>Binders</t>
        </is>
      </c>
      <c r="K88" s="11" t="n">
        <v>11.4</v>
      </c>
      <c r="L88" s="12" t="n">
        <v>1</v>
      </c>
      <c r="M88" s="13" t="n">
        <v>0</v>
      </c>
      <c r="N88" s="14" t="n">
        <v>2.55</v>
      </c>
      <c r="O88" s="9">
        <f>IF(N88&lt;0,"Loss","Profit")</f>
        <v/>
      </c>
    </row>
    <row r="89">
      <c r="A89" s="9" t="inlineStr">
        <is>
          <t>ORD-2016-0088</t>
        </is>
      </c>
      <c r="B89" s="10" t="n">
        <v>42622</v>
      </c>
      <c r="C89" s="9" t="inlineStr">
        <is>
          <t>Standard Class</t>
        </is>
      </c>
      <c r="D89" s="9" t="inlineStr">
        <is>
          <t>CU-1018</t>
        </is>
      </c>
      <c r="E89" s="9" t="inlineStr">
        <is>
          <t>Anvi Saxena</t>
        </is>
      </c>
      <c r="F89" s="9" t="inlineStr">
        <is>
          <t>Home Office</t>
        </is>
      </c>
      <c r="G89" s="9" t="inlineStr">
        <is>
          <t>South</t>
        </is>
      </c>
      <c r="H89" s="9" t="inlineStr">
        <is>
          <t>FUR-TB-02</t>
        </is>
      </c>
      <c r="I89" s="9" t="inlineStr">
        <is>
          <t>Furniture</t>
        </is>
      </c>
      <c r="J89" s="9" t="inlineStr">
        <is>
          <t>Tables</t>
        </is>
      </c>
      <c r="K89" s="11" t="n">
        <v>416</v>
      </c>
      <c r="L89" s="12" t="n">
        <v>1</v>
      </c>
      <c r="M89" s="13" t="n">
        <v>0.2</v>
      </c>
      <c r="N89" s="14" t="n">
        <v>-5.77</v>
      </c>
      <c r="O89" s="9">
        <f>IF(N89&lt;0,"Loss","Profit")</f>
        <v/>
      </c>
    </row>
    <row r="90">
      <c r="A90" s="9" t="inlineStr">
        <is>
          <t>ORD-2016-0089</t>
        </is>
      </c>
      <c r="B90" s="10" t="n">
        <v>42625</v>
      </c>
      <c r="C90" s="9" t="inlineStr">
        <is>
          <t>Standard Class</t>
        </is>
      </c>
      <c r="D90" s="9" t="inlineStr">
        <is>
          <t>CU-1004</t>
        </is>
      </c>
      <c r="E90" s="9" t="inlineStr">
        <is>
          <t>Ananya Iyer</t>
        </is>
      </c>
      <c r="F90" s="9" t="inlineStr">
        <is>
          <t>Home Office</t>
        </is>
      </c>
      <c r="G90" s="9" t="inlineStr">
        <is>
          <t>South</t>
        </is>
      </c>
      <c r="H90" s="9" t="inlineStr">
        <is>
          <t>FUR-BK-02</t>
        </is>
      </c>
      <c r="I90" s="9" t="inlineStr">
        <is>
          <t>Furniture</t>
        </is>
      </c>
      <c r="J90" s="9" t="inlineStr">
        <is>
          <t>Bookcases</t>
        </is>
      </c>
      <c r="K90" s="11" t="n">
        <v>255.5</v>
      </c>
      <c r="L90" s="12" t="n">
        <v>1</v>
      </c>
      <c r="M90" s="13" t="n">
        <v>0.3</v>
      </c>
      <c r="N90" s="14" t="n">
        <v>-40.34</v>
      </c>
      <c r="O90" s="9">
        <f>IF(N90&lt;0,"Loss","Profit")</f>
        <v/>
      </c>
    </row>
    <row r="91">
      <c r="A91" s="9" t="inlineStr">
        <is>
          <t>ORD-2016-0090</t>
        </is>
      </c>
      <c r="B91" s="10" t="n">
        <v>42627</v>
      </c>
      <c r="C91" s="9" t="inlineStr">
        <is>
          <t>Standard Class</t>
        </is>
      </c>
      <c r="D91" s="9" t="inlineStr">
        <is>
          <t>CU-1005</t>
        </is>
      </c>
      <c r="E91" s="9" t="inlineStr">
        <is>
          <t>Kabir Singh</t>
        </is>
      </c>
      <c r="F91" s="9" t="inlineStr">
        <is>
          <t>Corporate</t>
        </is>
      </c>
      <c r="G91" s="9" t="inlineStr">
        <is>
          <t>West</t>
        </is>
      </c>
      <c r="H91" s="9" t="inlineStr">
        <is>
          <t>TEC-MA-01</t>
        </is>
      </c>
      <c r="I91" s="9" t="inlineStr">
        <is>
          <t>Technology</t>
        </is>
      </c>
      <c r="J91" s="9" t="inlineStr">
        <is>
          <t>Machines</t>
        </is>
      </c>
      <c r="K91" s="11" t="n">
        <v>3146.5</v>
      </c>
      <c r="L91" s="12" t="n">
        <v>5</v>
      </c>
      <c r="M91" s="13" t="n">
        <v>0.3</v>
      </c>
      <c r="N91" s="14" t="n">
        <v>0.35</v>
      </c>
      <c r="O91" s="9">
        <f>IF(N91&lt;0,"Loss","Profit")</f>
        <v/>
      </c>
    </row>
    <row r="92">
      <c r="A92" s="9" t="inlineStr">
        <is>
          <t>ORD-2016-0091</t>
        </is>
      </c>
      <c r="B92" s="10" t="n">
        <v>42639</v>
      </c>
      <c r="C92" s="9" t="inlineStr">
        <is>
          <t>Standard Class</t>
        </is>
      </c>
      <c r="D92" s="9" t="inlineStr">
        <is>
          <t>CU-1007</t>
        </is>
      </c>
      <c r="E92" s="9" t="inlineStr">
        <is>
          <t>Vihaan Rao</t>
        </is>
      </c>
      <c r="F92" s="9" t="inlineStr">
        <is>
          <t>Home Office</t>
        </is>
      </c>
      <c r="G92" s="9" t="inlineStr">
        <is>
          <t>Central</t>
        </is>
      </c>
      <c r="H92" s="9" t="inlineStr">
        <is>
          <t>OFS-PA-01</t>
        </is>
      </c>
      <c r="I92" s="9" t="inlineStr">
        <is>
          <t>Office Supplies</t>
        </is>
      </c>
      <c r="J92" s="9" t="inlineStr">
        <is>
          <t>Paper</t>
        </is>
      </c>
      <c r="K92" s="11" t="n">
        <v>38.4</v>
      </c>
      <c r="L92" s="12" t="n">
        <v>4</v>
      </c>
      <c r="M92" s="13" t="n">
        <v>0</v>
      </c>
      <c r="N92" s="14" t="n">
        <v>7.02</v>
      </c>
      <c r="O92" s="9">
        <f>IF(N92&lt;0,"Loss","Profit")</f>
        <v/>
      </c>
    </row>
    <row r="93">
      <c r="A93" s="9" t="inlineStr">
        <is>
          <t>ORD-2016-0092</t>
        </is>
      </c>
      <c r="B93" s="10" t="n">
        <v>42642</v>
      </c>
      <c r="C93" s="9" t="inlineStr">
        <is>
          <t>Standard Class</t>
        </is>
      </c>
      <c r="D93" s="9" t="inlineStr">
        <is>
          <t>CU-1009</t>
        </is>
      </c>
      <c r="E93" s="9" t="inlineStr">
        <is>
          <t>Arjun Verma</t>
        </is>
      </c>
      <c r="F93" s="9" t="inlineStr">
        <is>
          <t>Corporate</t>
        </is>
      </c>
      <c r="G93" s="9" t="inlineStr">
        <is>
          <t>Central</t>
        </is>
      </c>
      <c r="H93" s="9" t="inlineStr">
        <is>
          <t>TEC-PH-02</t>
        </is>
      </c>
      <c r="I93" s="9" t="inlineStr">
        <is>
          <t>Technology</t>
        </is>
      </c>
      <c r="J93" s="9" t="inlineStr">
        <is>
          <t>Phones</t>
        </is>
      </c>
      <c r="K93" s="11" t="n">
        <v>779.9400000000001</v>
      </c>
      <c r="L93" s="12" t="n">
        <v>6</v>
      </c>
      <c r="M93" s="13" t="n">
        <v>0</v>
      </c>
      <c r="N93" s="14" t="n">
        <v>81.59</v>
      </c>
      <c r="O93" s="9">
        <f>IF(N93&lt;0,"Loss","Profit")</f>
        <v/>
      </c>
    </row>
    <row r="94">
      <c r="A94" s="9" t="inlineStr">
        <is>
          <t>ORD-2016-0093</t>
        </is>
      </c>
      <c r="B94" s="10" t="n">
        <v>42643</v>
      </c>
      <c r="C94" s="9" t="inlineStr">
        <is>
          <t>Standard Class</t>
        </is>
      </c>
      <c r="D94" s="9" t="inlineStr">
        <is>
          <t>CU-1013</t>
        </is>
      </c>
      <c r="E94" s="9" t="inlineStr">
        <is>
          <t>Aditya Pillai</t>
        </is>
      </c>
      <c r="F94" s="9" t="inlineStr">
        <is>
          <t>Consumer</t>
        </is>
      </c>
      <c r="G94" s="9" t="inlineStr">
        <is>
          <t>South</t>
        </is>
      </c>
      <c r="H94" s="9" t="inlineStr">
        <is>
          <t>OFS-BI-01</t>
        </is>
      </c>
      <c r="I94" s="9" t="inlineStr">
        <is>
          <t>Office Supplies</t>
        </is>
      </c>
      <c r="J94" s="9" t="inlineStr">
        <is>
          <t>Binders</t>
        </is>
      </c>
      <c r="K94" s="11" t="n">
        <v>10.26</v>
      </c>
      <c r="L94" s="12" t="n">
        <v>1</v>
      </c>
      <c r="M94" s="13" t="n">
        <v>0.1</v>
      </c>
      <c r="N94" s="14" t="n">
        <v>2.21</v>
      </c>
      <c r="O94" s="9">
        <f>IF(N94&lt;0,"Loss","Profit")</f>
        <v/>
      </c>
    </row>
    <row r="95">
      <c r="A95" s="9" t="inlineStr">
        <is>
          <t>ORD-2016-0094</t>
        </is>
      </c>
      <c r="B95" s="10" t="n">
        <v>42644</v>
      </c>
      <c r="C95" s="9" t="inlineStr">
        <is>
          <t>Standard Class</t>
        </is>
      </c>
      <c r="D95" s="9" t="inlineStr">
        <is>
          <t>CU-1003</t>
        </is>
      </c>
      <c r="E95" s="9" t="inlineStr">
        <is>
          <t>Rohan Sharma</t>
        </is>
      </c>
      <c r="F95" s="9" t="inlineStr">
        <is>
          <t>Corporate</t>
        </is>
      </c>
      <c r="G95" s="9" t="inlineStr">
        <is>
          <t>North</t>
        </is>
      </c>
      <c r="H95" s="9" t="inlineStr">
        <is>
          <t>FUR-CH-01</t>
        </is>
      </c>
      <c r="I95" s="9" t="inlineStr">
        <is>
          <t>Furniture</t>
        </is>
      </c>
      <c r="J95" s="9" t="inlineStr">
        <is>
          <t>Chairs</t>
        </is>
      </c>
      <c r="K95" s="11" t="n">
        <v>516</v>
      </c>
      <c r="L95" s="12" t="n">
        <v>1</v>
      </c>
      <c r="M95" s="13" t="n">
        <v>0.2</v>
      </c>
      <c r="N95" s="14" t="n">
        <v>-29.25</v>
      </c>
      <c r="O95" s="9">
        <f>IF(N95&lt;0,"Loss","Profit")</f>
        <v/>
      </c>
    </row>
    <row r="96">
      <c r="A96" s="9" t="inlineStr">
        <is>
          <t>ORD-2016-0095</t>
        </is>
      </c>
      <c r="B96" s="10" t="n">
        <v>42646</v>
      </c>
      <c r="C96" s="9" t="inlineStr">
        <is>
          <t>Standard Class</t>
        </is>
      </c>
      <c r="D96" s="9" t="inlineStr">
        <is>
          <t>CU-1013</t>
        </is>
      </c>
      <c r="E96" s="9" t="inlineStr">
        <is>
          <t>Aditya Pillai</t>
        </is>
      </c>
      <c r="F96" s="9" t="inlineStr">
        <is>
          <t>Consumer</t>
        </is>
      </c>
      <c r="G96" s="9" t="inlineStr">
        <is>
          <t>South</t>
        </is>
      </c>
      <c r="H96" s="9" t="inlineStr">
        <is>
          <t>OFS-PA-01</t>
        </is>
      </c>
      <c r="I96" s="9" t="inlineStr">
        <is>
          <t>Office Supplies</t>
        </is>
      </c>
      <c r="J96" s="9" t="inlineStr">
        <is>
          <t>Paper</t>
        </is>
      </c>
      <c r="K96" s="11" t="n">
        <v>60.48</v>
      </c>
      <c r="L96" s="12" t="n">
        <v>7</v>
      </c>
      <c r="M96" s="13" t="n">
        <v>0.1</v>
      </c>
      <c r="N96" s="14" t="n">
        <v>3.15</v>
      </c>
      <c r="O96" s="9">
        <f>IF(N96&lt;0,"Loss","Profit")</f>
        <v/>
      </c>
    </row>
    <row r="97">
      <c r="A97" s="9" t="inlineStr">
        <is>
          <t>ORD-2016-0096</t>
        </is>
      </c>
      <c r="B97" s="10" t="n">
        <v>42647</v>
      </c>
      <c r="C97" s="9" t="inlineStr">
        <is>
          <t>Standard Class</t>
        </is>
      </c>
      <c r="D97" s="9" t="inlineStr">
        <is>
          <t>CU-1009</t>
        </is>
      </c>
      <c r="E97" s="9" t="inlineStr">
        <is>
          <t>Arjun Verma</t>
        </is>
      </c>
      <c r="F97" s="9" t="inlineStr">
        <is>
          <t>Corporate</t>
        </is>
      </c>
      <c r="G97" s="9" t="inlineStr">
        <is>
          <t>Central</t>
        </is>
      </c>
      <c r="H97" s="9" t="inlineStr">
        <is>
          <t>FUR-BK-01</t>
        </is>
      </c>
      <c r="I97" s="9" t="inlineStr">
        <is>
          <t>Furniture</t>
        </is>
      </c>
      <c r="J97" s="9" t="inlineStr">
        <is>
          <t>Bookcases</t>
        </is>
      </c>
      <c r="K97" s="11" t="n">
        <v>630</v>
      </c>
      <c r="L97" s="12" t="n">
        <v>3</v>
      </c>
      <c r="M97" s="13" t="n">
        <v>0</v>
      </c>
      <c r="N97" s="14" t="n">
        <v>43.76</v>
      </c>
      <c r="O97" s="9">
        <f>IF(N97&lt;0,"Loss","Profit")</f>
        <v/>
      </c>
    </row>
    <row r="98">
      <c r="A98" s="9" t="inlineStr">
        <is>
          <t>ORD-2016-0097</t>
        </is>
      </c>
      <c r="B98" s="10" t="n">
        <v>42648</v>
      </c>
      <c r="C98" s="9" t="inlineStr">
        <is>
          <t>Standard Class</t>
        </is>
      </c>
      <c r="D98" s="9" t="inlineStr">
        <is>
          <t>CU-1014</t>
        </is>
      </c>
      <c r="E98" s="9" t="inlineStr">
        <is>
          <t>Myra Chawla</t>
        </is>
      </c>
      <c r="F98" s="9" t="inlineStr">
        <is>
          <t>Home Office</t>
        </is>
      </c>
      <c r="G98" s="9" t="inlineStr">
        <is>
          <t>West</t>
        </is>
      </c>
      <c r="H98" s="9" t="inlineStr">
        <is>
          <t>OFS-PA-02</t>
        </is>
      </c>
      <c r="I98" s="9" t="inlineStr">
        <is>
          <t>Office Supplies</t>
        </is>
      </c>
      <c r="J98" s="9" t="inlineStr">
        <is>
          <t>Paper</t>
        </is>
      </c>
      <c r="K98" s="11" t="n">
        <v>17.4</v>
      </c>
      <c r="L98" s="12" t="n">
        <v>3</v>
      </c>
      <c r="M98" s="13" t="n">
        <v>0.2</v>
      </c>
      <c r="N98" s="14" t="n">
        <v>1.64</v>
      </c>
      <c r="O98" s="9">
        <f>IF(N98&lt;0,"Loss","Profit")</f>
        <v/>
      </c>
    </row>
    <row r="99">
      <c r="A99" s="9" t="inlineStr">
        <is>
          <t>ORD-2016-0098</t>
        </is>
      </c>
      <c r="B99" s="10" t="n">
        <v>42652</v>
      </c>
      <c r="C99" s="9" t="inlineStr">
        <is>
          <t>Standard Class</t>
        </is>
      </c>
      <c r="D99" s="9" t="inlineStr">
        <is>
          <t>CU-1007</t>
        </is>
      </c>
      <c r="E99" s="9" t="inlineStr">
        <is>
          <t>Vihaan Rao</t>
        </is>
      </c>
      <c r="F99" s="9" t="inlineStr">
        <is>
          <t>Home Office</t>
        </is>
      </c>
      <c r="G99" s="9" t="inlineStr">
        <is>
          <t>Central</t>
        </is>
      </c>
      <c r="H99" s="9" t="inlineStr">
        <is>
          <t>OFS-PA-02</t>
        </is>
      </c>
      <c r="I99" s="9" t="inlineStr">
        <is>
          <t>Office Supplies</t>
        </is>
      </c>
      <c r="J99" s="9" t="inlineStr">
        <is>
          <t>Paper</t>
        </is>
      </c>
      <c r="K99" s="11" t="n">
        <v>6.53</v>
      </c>
      <c r="L99" s="12" t="n">
        <v>1</v>
      </c>
      <c r="M99" s="13" t="n">
        <v>0.1</v>
      </c>
      <c r="N99" s="14" t="n">
        <v>1.61</v>
      </c>
      <c r="O99" s="9">
        <f>IF(N99&lt;0,"Loss","Profit")</f>
        <v/>
      </c>
    </row>
    <row r="100">
      <c r="A100" s="9" t="inlineStr">
        <is>
          <t>ORD-2016-0099</t>
        </is>
      </c>
      <c r="B100" s="10" t="n">
        <v>42660</v>
      </c>
      <c r="C100" s="9" t="inlineStr">
        <is>
          <t>Standard Class</t>
        </is>
      </c>
      <c r="D100" s="9" t="inlineStr">
        <is>
          <t>CU-1009</t>
        </is>
      </c>
      <c r="E100" s="9" t="inlineStr">
        <is>
          <t>Arjun Verma</t>
        </is>
      </c>
      <c r="F100" s="9" t="inlineStr">
        <is>
          <t>Corporate</t>
        </is>
      </c>
      <c r="G100" s="9" t="inlineStr">
        <is>
          <t>Central</t>
        </is>
      </c>
      <c r="H100" s="9" t="inlineStr">
        <is>
          <t>TEC-MA-01</t>
        </is>
      </c>
      <c r="I100" s="9" t="inlineStr">
        <is>
          <t>Technology</t>
        </is>
      </c>
      <c r="J100" s="9" t="inlineStr">
        <is>
          <t>Machines</t>
        </is>
      </c>
      <c r="K100" s="11" t="n">
        <v>4495</v>
      </c>
      <c r="L100" s="12" t="n">
        <v>5</v>
      </c>
      <c r="M100" s="13" t="n">
        <v>0</v>
      </c>
      <c r="N100" s="14" t="n">
        <v>739.79</v>
      </c>
      <c r="O100" s="9">
        <f>IF(N100&lt;0,"Loss","Profit")</f>
        <v/>
      </c>
    </row>
    <row r="101">
      <c r="A101" s="9" t="inlineStr">
        <is>
          <t>ORD-2016-0100</t>
        </is>
      </c>
      <c r="B101" s="10" t="n">
        <v>42660</v>
      </c>
      <c r="C101" s="9" t="inlineStr">
        <is>
          <t>Standard Class</t>
        </is>
      </c>
      <c r="D101" s="9" t="inlineStr">
        <is>
          <t>CU-1016</t>
        </is>
      </c>
      <c r="E101" s="9" t="inlineStr">
        <is>
          <t>Tara Bhatia</t>
        </is>
      </c>
      <c r="F101" s="9" t="inlineStr">
        <is>
          <t>Corporate</t>
        </is>
      </c>
      <c r="G101" s="9" t="inlineStr">
        <is>
          <t>North</t>
        </is>
      </c>
      <c r="H101" s="9" t="inlineStr">
        <is>
          <t>TEC-MA-01</t>
        </is>
      </c>
      <c r="I101" s="9" t="inlineStr">
        <is>
          <t>Technology</t>
        </is>
      </c>
      <c r="J101" s="9" t="inlineStr">
        <is>
          <t>Machines</t>
        </is>
      </c>
      <c r="K101" s="11" t="n">
        <v>2697</v>
      </c>
      <c r="L101" s="12" t="n">
        <v>3</v>
      </c>
      <c r="M101" s="13" t="n">
        <v>0</v>
      </c>
      <c r="N101" s="14" t="n">
        <v>253.28</v>
      </c>
      <c r="O101" s="9">
        <f>IF(N101&lt;0,"Loss","Profit")</f>
        <v/>
      </c>
    </row>
    <row r="102">
      <c r="A102" s="9" t="inlineStr">
        <is>
          <t>ORD-2016-0101</t>
        </is>
      </c>
      <c r="B102" s="10" t="n">
        <v>42666</v>
      </c>
      <c r="C102" s="9" t="inlineStr">
        <is>
          <t>Second Class</t>
        </is>
      </c>
      <c r="D102" s="9" t="inlineStr">
        <is>
          <t>CU-1014</t>
        </is>
      </c>
      <c r="E102" s="9" t="inlineStr">
        <is>
          <t>Myra Chawla</t>
        </is>
      </c>
      <c r="F102" s="9" t="inlineStr">
        <is>
          <t>Home Office</t>
        </is>
      </c>
      <c r="G102" s="9" t="inlineStr">
        <is>
          <t>West</t>
        </is>
      </c>
      <c r="H102" s="9" t="inlineStr">
        <is>
          <t>OFS-ST-01</t>
        </is>
      </c>
      <c r="I102" s="9" t="inlineStr">
        <is>
          <t>Office Supplies</t>
        </is>
      </c>
      <c r="J102" s="9" t="inlineStr">
        <is>
          <t>Storage</t>
        </is>
      </c>
      <c r="K102" s="11" t="n">
        <v>383.4</v>
      </c>
      <c r="L102" s="12" t="n">
        <v>3</v>
      </c>
      <c r="M102" s="13" t="n">
        <v>0.1</v>
      </c>
      <c r="N102" s="14" t="n">
        <v>106.25</v>
      </c>
      <c r="O102" s="9">
        <f>IF(N102&lt;0,"Loss","Profit")</f>
        <v/>
      </c>
    </row>
    <row r="103">
      <c r="A103" s="9" t="inlineStr">
        <is>
          <t>ORD-2016-0102</t>
        </is>
      </c>
      <c r="B103" s="10" t="n">
        <v>42667</v>
      </c>
      <c r="C103" s="9" t="inlineStr">
        <is>
          <t>Standard Class</t>
        </is>
      </c>
      <c r="D103" s="9" t="inlineStr">
        <is>
          <t>CU-1010</t>
        </is>
      </c>
      <c r="E103" s="9" t="inlineStr">
        <is>
          <t>Saanvi Joshi</t>
        </is>
      </c>
      <c r="F103" s="9" t="inlineStr">
        <is>
          <t>Consumer</t>
        </is>
      </c>
      <c r="G103" s="9" t="inlineStr">
        <is>
          <t>West</t>
        </is>
      </c>
      <c r="H103" s="9" t="inlineStr">
        <is>
          <t>TEC-PH-02</t>
        </is>
      </c>
      <c r="I103" s="9" t="inlineStr">
        <is>
          <t>Technology</t>
        </is>
      </c>
      <c r="J103" s="9" t="inlineStr">
        <is>
          <t>Phones</t>
        </is>
      </c>
      <c r="K103" s="11" t="n">
        <v>779.9400000000001</v>
      </c>
      <c r="L103" s="12" t="n">
        <v>6</v>
      </c>
      <c r="M103" s="13" t="n">
        <v>0</v>
      </c>
      <c r="N103" s="14" t="n">
        <v>22.81</v>
      </c>
      <c r="O103" s="9">
        <f>IF(N103&lt;0,"Loss","Profit")</f>
        <v/>
      </c>
    </row>
    <row r="104">
      <c r="A104" s="9" t="inlineStr">
        <is>
          <t>ORD-2016-0103</t>
        </is>
      </c>
      <c r="B104" s="10" t="n">
        <v>42668</v>
      </c>
      <c r="C104" s="9" t="inlineStr">
        <is>
          <t>Standard Class</t>
        </is>
      </c>
      <c r="D104" s="9" t="inlineStr">
        <is>
          <t>CU-1007</t>
        </is>
      </c>
      <c r="E104" s="9" t="inlineStr">
        <is>
          <t>Vihaan Rao</t>
        </is>
      </c>
      <c r="F104" s="9" t="inlineStr">
        <is>
          <t>Home Office</t>
        </is>
      </c>
      <c r="G104" s="9" t="inlineStr">
        <is>
          <t>Central</t>
        </is>
      </c>
      <c r="H104" s="9" t="inlineStr">
        <is>
          <t>TEC-MA-01</t>
        </is>
      </c>
      <c r="I104" s="9" t="inlineStr">
        <is>
          <t>Technology</t>
        </is>
      </c>
      <c r="J104" s="9" t="inlineStr">
        <is>
          <t>Machines</t>
        </is>
      </c>
      <c r="K104" s="11" t="n">
        <v>899</v>
      </c>
      <c r="L104" s="12" t="n">
        <v>1</v>
      </c>
      <c r="M104" s="13" t="n">
        <v>0</v>
      </c>
      <c r="N104" s="14" t="n">
        <v>203.54</v>
      </c>
      <c r="O104" s="9">
        <f>IF(N104&lt;0,"Loss","Profit")</f>
        <v/>
      </c>
    </row>
    <row r="105">
      <c r="A105" s="9" t="inlineStr">
        <is>
          <t>ORD-2016-0104</t>
        </is>
      </c>
      <c r="B105" s="10" t="n">
        <v>42678</v>
      </c>
      <c r="C105" s="9" t="inlineStr">
        <is>
          <t>Standard Class</t>
        </is>
      </c>
      <c r="D105" s="9" t="inlineStr">
        <is>
          <t>CU-1002</t>
        </is>
      </c>
      <c r="E105" s="9" t="inlineStr">
        <is>
          <t>Diya Kapoor</t>
        </is>
      </c>
      <c r="F105" s="9" t="inlineStr">
        <is>
          <t>Consumer</t>
        </is>
      </c>
      <c r="G105" s="9" t="inlineStr">
        <is>
          <t>East</t>
        </is>
      </c>
      <c r="H105" s="9" t="inlineStr">
        <is>
          <t>OFS-BI-01</t>
        </is>
      </c>
      <c r="I105" s="9" t="inlineStr">
        <is>
          <t>Office Supplies</t>
        </is>
      </c>
      <c r="J105" s="9" t="inlineStr">
        <is>
          <t>Binders</t>
        </is>
      </c>
      <c r="K105" s="11" t="n">
        <v>22.8</v>
      </c>
      <c r="L105" s="12" t="n">
        <v>2</v>
      </c>
      <c r="M105" s="13" t="n">
        <v>0</v>
      </c>
      <c r="N105" s="14" t="n">
        <v>4.11</v>
      </c>
      <c r="O105" s="9">
        <f>IF(N105&lt;0,"Loss","Profit")</f>
        <v/>
      </c>
    </row>
    <row r="106">
      <c r="A106" s="9" t="inlineStr">
        <is>
          <t>ORD-2016-0105</t>
        </is>
      </c>
      <c r="B106" s="10" t="n">
        <v>42681</v>
      </c>
      <c r="C106" s="9" t="inlineStr">
        <is>
          <t>Standard Class</t>
        </is>
      </c>
      <c r="D106" s="9" t="inlineStr">
        <is>
          <t>CU-1002</t>
        </is>
      </c>
      <c r="E106" s="9" t="inlineStr">
        <is>
          <t>Diya Kapoor</t>
        </is>
      </c>
      <c r="F106" s="9" t="inlineStr">
        <is>
          <t>Consumer</t>
        </is>
      </c>
      <c r="G106" s="9" t="inlineStr">
        <is>
          <t>East</t>
        </is>
      </c>
      <c r="H106" s="9" t="inlineStr">
        <is>
          <t>FUR-FN-02</t>
        </is>
      </c>
      <c r="I106" s="9" t="inlineStr">
        <is>
          <t>Furniture</t>
        </is>
      </c>
      <c r="J106" s="9" t="inlineStr">
        <is>
          <t>Furnishings</t>
        </is>
      </c>
      <c r="K106" s="11" t="n">
        <v>49.98</v>
      </c>
      <c r="L106" s="12" t="n">
        <v>2</v>
      </c>
      <c r="M106" s="13" t="n">
        <v>0</v>
      </c>
      <c r="N106" s="14" t="n">
        <v>-2.13</v>
      </c>
      <c r="O106" s="9">
        <f>IF(N106&lt;0,"Loss","Profit")</f>
        <v/>
      </c>
    </row>
    <row r="107">
      <c r="A107" s="9" t="inlineStr">
        <is>
          <t>ORD-2016-0106</t>
        </is>
      </c>
      <c r="B107" s="10" t="n">
        <v>42681</v>
      </c>
      <c r="C107" s="9" t="inlineStr">
        <is>
          <t>Same Day</t>
        </is>
      </c>
      <c r="D107" s="9" t="inlineStr">
        <is>
          <t>CU-1003</t>
        </is>
      </c>
      <c r="E107" s="9" t="inlineStr">
        <is>
          <t>Rohan Sharma</t>
        </is>
      </c>
      <c r="F107" s="9" t="inlineStr">
        <is>
          <t>Corporate</t>
        </is>
      </c>
      <c r="G107" s="9" t="inlineStr">
        <is>
          <t>North</t>
        </is>
      </c>
      <c r="H107" s="9" t="inlineStr">
        <is>
          <t>TEC-AC-01</t>
        </is>
      </c>
      <c r="I107" s="9" t="inlineStr">
        <is>
          <t>Technology</t>
        </is>
      </c>
      <c r="J107" s="9" t="inlineStr">
        <is>
          <t>Accessories</t>
        </is>
      </c>
      <c r="K107" s="11" t="n">
        <v>94.48</v>
      </c>
      <c r="L107" s="12" t="n">
        <v>3</v>
      </c>
      <c r="M107" s="13" t="n">
        <v>0.3</v>
      </c>
      <c r="N107" s="14" t="n">
        <v>-3.28</v>
      </c>
      <c r="O107" s="9">
        <f>IF(N107&lt;0,"Loss","Profit")</f>
        <v/>
      </c>
    </row>
    <row r="108">
      <c r="A108" s="9" t="inlineStr">
        <is>
          <t>ORD-2016-0107</t>
        </is>
      </c>
      <c r="B108" s="10" t="n">
        <v>42689</v>
      </c>
      <c r="C108" s="9" t="inlineStr">
        <is>
          <t>Standard Class</t>
        </is>
      </c>
      <c r="D108" s="9" t="inlineStr">
        <is>
          <t>CU-1006</t>
        </is>
      </c>
      <c r="E108" s="9" t="inlineStr">
        <is>
          <t>Meera Nair</t>
        </is>
      </c>
      <c r="F108" s="9" t="inlineStr">
        <is>
          <t>Consumer</t>
        </is>
      </c>
      <c r="G108" s="9" t="inlineStr">
        <is>
          <t>South</t>
        </is>
      </c>
      <c r="H108" s="9" t="inlineStr">
        <is>
          <t>FUR-BK-01</t>
        </is>
      </c>
      <c r="I108" s="9" t="inlineStr">
        <is>
          <t>Furniture</t>
        </is>
      </c>
      <c r="J108" s="9" t="inlineStr">
        <is>
          <t>Bookcases</t>
        </is>
      </c>
      <c r="K108" s="11" t="n">
        <v>147</v>
      </c>
      <c r="L108" s="12" t="n">
        <v>1</v>
      </c>
      <c r="M108" s="13" t="n">
        <v>0.3</v>
      </c>
      <c r="N108" s="14" t="n">
        <v>-15.05</v>
      </c>
      <c r="O108" s="9">
        <f>IF(N108&lt;0,"Loss","Profit")</f>
        <v/>
      </c>
    </row>
    <row r="109">
      <c r="A109" s="9" t="inlineStr">
        <is>
          <t>ORD-2016-0108</t>
        </is>
      </c>
      <c r="B109" s="10" t="n">
        <v>42690</v>
      </c>
      <c r="C109" s="9" t="inlineStr">
        <is>
          <t>Standard Class</t>
        </is>
      </c>
      <c r="D109" s="9" t="inlineStr">
        <is>
          <t>CU-1003</t>
        </is>
      </c>
      <c r="E109" s="9" t="inlineStr">
        <is>
          <t>Rohan Sharma</t>
        </is>
      </c>
      <c r="F109" s="9" t="inlineStr">
        <is>
          <t>Corporate</t>
        </is>
      </c>
      <c r="G109" s="9" t="inlineStr">
        <is>
          <t>North</t>
        </is>
      </c>
      <c r="H109" s="9" t="inlineStr">
        <is>
          <t>FUR-CH-01</t>
        </is>
      </c>
      <c r="I109" s="9" t="inlineStr">
        <is>
          <t>Furniture</t>
        </is>
      </c>
      <c r="J109" s="9" t="inlineStr">
        <is>
          <t>Chairs</t>
        </is>
      </c>
      <c r="K109" s="11" t="n">
        <v>580.5</v>
      </c>
      <c r="L109" s="12" t="n">
        <v>1</v>
      </c>
      <c r="M109" s="13" t="n">
        <v>0.1</v>
      </c>
      <c r="N109" s="14" t="n">
        <v>-4.96</v>
      </c>
      <c r="O109" s="9">
        <f>IF(N109&lt;0,"Loss","Profit")</f>
        <v/>
      </c>
    </row>
    <row r="110">
      <c r="A110" s="9" t="inlineStr">
        <is>
          <t>ORD-2016-0109</t>
        </is>
      </c>
      <c r="B110" s="10" t="n">
        <v>42691</v>
      </c>
      <c r="C110" s="9" t="inlineStr">
        <is>
          <t>Same Day</t>
        </is>
      </c>
      <c r="D110" s="9" t="inlineStr">
        <is>
          <t>CU-1013</t>
        </is>
      </c>
      <c r="E110" s="9" t="inlineStr">
        <is>
          <t>Aditya Pillai</t>
        </is>
      </c>
      <c r="F110" s="9" t="inlineStr">
        <is>
          <t>Consumer</t>
        </is>
      </c>
      <c r="G110" s="9" t="inlineStr">
        <is>
          <t>South</t>
        </is>
      </c>
      <c r="H110" s="9" t="inlineStr">
        <is>
          <t>FUR-TB-01</t>
        </is>
      </c>
      <c r="I110" s="9" t="inlineStr">
        <is>
          <t>Furniture</t>
        </is>
      </c>
      <c r="J110" s="9" t="inlineStr">
        <is>
          <t>Tables</t>
        </is>
      </c>
      <c r="K110" s="11" t="n">
        <v>826</v>
      </c>
      <c r="L110" s="12" t="n">
        <v>1</v>
      </c>
      <c r="M110" s="13" t="n">
        <v>0.3</v>
      </c>
      <c r="N110" s="14" t="n">
        <v>-62.01</v>
      </c>
      <c r="O110" s="9">
        <f>IF(N110&lt;0,"Loss","Profit")</f>
        <v/>
      </c>
    </row>
    <row r="111">
      <c r="A111" s="9" t="inlineStr">
        <is>
          <t>ORD-2016-0110</t>
        </is>
      </c>
      <c r="B111" s="10" t="n">
        <v>42692</v>
      </c>
      <c r="C111" s="9" t="inlineStr">
        <is>
          <t>Standard Class</t>
        </is>
      </c>
      <c r="D111" s="9" t="inlineStr">
        <is>
          <t>CU-1014</t>
        </is>
      </c>
      <c r="E111" s="9" t="inlineStr">
        <is>
          <t>Myra Chawla</t>
        </is>
      </c>
      <c r="F111" s="9" t="inlineStr">
        <is>
          <t>Home Office</t>
        </is>
      </c>
      <c r="G111" s="9" t="inlineStr">
        <is>
          <t>West</t>
        </is>
      </c>
      <c r="H111" s="9" t="inlineStr">
        <is>
          <t>TEC-PH-01</t>
        </is>
      </c>
      <c r="I111" s="9" t="inlineStr">
        <is>
          <t>Technology</t>
        </is>
      </c>
      <c r="J111" s="9" t="inlineStr">
        <is>
          <t>Phones</t>
        </is>
      </c>
      <c r="K111" s="11" t="n">
        <v>5841</v>
      </c>
      <c r="L111" s="12" t="n">
        <v>9</v>
      </c>
      <c r="M111" s="13" t="n">
        <v>0</v>
      </c>
      <c r="N111" s="14" t="n">
        <v>932.26</v>
      </c>
      <c r="O111" s="9">
        <f>IF(N111&lt;0,"Loss","Profit")</f>
        <v/>
      </c>
    </row>
    <row r="112">
      <c r="A112" s="9" t="inlineStr">
        <is>
          <t>ORD-2016-0111</t>
        </is>
      </c>
      <c r="B112" s="10" t="n">
        <v>42694</v>
      </c>
      <c r="C112" s="9" t="inlineStr">
        <is>
          <t>Standard Class</t>
        </is>
      </c>
      <c r="D112" s="9" t="inlineStr">
        <is>
          <t>CU-1019</t>
        </is>
      </c>
      <c r="E112" s="9" t="inlineStr">
        <is>
          <t>Dhruv Agarwal</t>
        </is>
      </c>
      <c r="F112" s="9" t="inlineStr">
        <is>
          <t>Corporate</t>
        </is>
      </c>
      <c r="G112" s="9" t="inlineStr">
        <is>
          <t>West</t>
        </is>
      </c>
      <c r="H112" s="9" t="inlineStr">
        <is>
          <t>TEC-PH-02</t>
        </is>
      </c>
      <c r="I112" s="9" t="inlineStr">
        <is>
          <t>Technology</t>
        </is>
      </c>
      <c r="J112" s="9" t="inlineStr">
        <is>
          <t>Phones</t>
        </is>
      </c>
      <c r="K112" s="11" t="n">
        <v>155.99</v>
      </c>
      <c r="L112" s="12" t="n">
        <v>2</v>
      </c>
      <c r="M112" s="13" t="n">
        <v>0.4</v>
      </c>
      <c r="N112" s="14" t="n">
        <v>-16</v>
      </c>
      <c r="O112" s="9">
        <f>IF(N112&lt;0,"Loss","Profit")</f>
        <v/>
      </c>
    </row>
    <row r="113">
      <c r="A113" s="9" t="inlineStr">
        <is>
          <t>ORD-2016-0112</t>
        </is>
      </c>
      <c r="B113" s="10" t="n">
        <v>42695</v>
      </c>
      <c r="C113" s="9" t="inlineStr">
        <is>
          <t>Standard Class</t>
        </is>
      </c>
      <c r="D113" s="9" t="inlineStr">
        <is>
          <t>CU-1015</t>
        </is>
      </c>
      <c r="E113" s="9" t="inlineStr">
        <is>
          <t>Ved Malhotra</t>
        </is>
      </c>
      <c r="F113" s="9" t="inlineStr">
        <is>
          <t>Consumer</t>
        </is>
      </c>
      <c r="G113" s="9" t="inlineStr">
        <is>
          <t>Central</t>
        </is>
      </c>
      <c r="H113" s="9" t="inlineStr">
        <is>
          <t>FUR-CH-02</t>
        </is>
      </c>
      <c r="I113" s="9" t="inlineStr">
        <is>
          <t>Furniture</t>
        </is>
      </c>
      <c r="J113" s="9" t="inlineStr">
        <is>
          <t>Chairs</t>
        </is>
      </c>
      <c r="K113" s="11" t="n">
        <v>779.98</v>
      </c>
      <c r="L113" s="12" t="n">
        <v>2</v>
      </c>
      <c r="M113" s="13" t="n">
        <v>0</v>
      </c>
      <c r="N113" s="14" t="n">
        <v>-1.96</v>
      </c>
      <c r="O113" s="9">
        <f>IF(N113&lt;0,"Loss","Profit")</f>
        <v/>
      </c>
    </row>
    <row r="114">
      <c r="A114" s="9" t="inlineStr">
        <is>
          <t>ORD-2016-0113</t>
        </is>
      </c>
      <c r="B114" s="10" t="n">
        <v>42704</v>
      </c>
      <c r="C114" s="9" t="inlineStr">
        <is>
          <t>Standard Class</t>
        </is>
      </c>
      <c r="D114" s="9" t="inlineStr">
        <is>
          <t>CU-1018</t>
        </is>
      </c>
      <c r="E114" s="9" t="inlineStr">
        <is>
          <t>Anvi Saxena</t>
        </is>
      </c>
      <c r="F114" s="9" t="inlineStr">
        <is>
          <t>Home Office</t>
        </is>
      </c>
      <c r="G114" s="9" t="inlineStr">
        <is>
          <t>South</t>
        </is>
      </c>
      <c r="H114" s="9" t="inlineStr">
        <is>
          <t>FUR-FN-02</t>
        </is>
      </c>
      <c r="I114" s="9" t="inlineStr">
        <is>
          <t>Furniture</t>
        </is>
      </c>
      <c r="J114" s="9" t="inlineStr">
        <is>
          <t>Furnishings</t>
        </is>
      </c>
      <c r="K114" s="11" t="n">
        <v>29.99</v>
      </c>
      <c r="L114" s="12" t="n">
        <v>2</v>
      </c>
      <c r="M114" s="13" t="n">
        <v>0.4</v>
      </c>
      <c r="N114" s="14" t="n">
        <v>-6.61</v>
      </c>
      <c r="O114" s="9">
        <f>IF(N114&lt;0,"Loss","Profit")</f>
        <v/>
      </c>
    </row>
    <row r="115">
      <c r="A115" s="9" t="inlineStr">
        <is>
          <t>ORD-2016-0114</t>
        </is>
      </c>
      <c r="B115" s="10" t="n">
        <v>42710</v>
      </c>
      <c r="C115" s="9" t="inlineStr">
        <is>
          <t>Second Class</t>
        </is>
      </c>
      <c r="D115" s="9" t="inlineStr">
        <is>
          <t>CU-1016</t>
        </is>
      </c>
      <c r="E115" s="9" t="inlineStr">
        <is>
          <t>Tara Bhatia</t>
        </is>
      </c>
      <c r="F115" s="9" t="inlineStr">
        <is>
          <t>Corporate</t>
        </is>
      </c>
      <c r="G115" s="9" t="inlineStr">
        <is>
          <t>North</t>
        </is>
      </c>
      <c r="H115" s="9" t="inlineStr">
        <is>
          <t>FUR-BK-01</t>
        </is>
      </c>
      <c r="I115" s="9" t="inlineStr">
        <is>
          <t>Furniture</t>
        </is>
      </c>
      <c r="J115" s="9" t="inlineStr">
        <is>
          <t>Bookcases</t>
        </is>
      </c>
      <c r="K115" s="11" t="n">
        <v>567</v>
      </c>
      <c r="L115" s="12" t="n">
        <v>3</v>
      </c>
      <c r="M115" s="13" t="n">
        <v>0.1</v>
      </c>
      <c r="N115" s="14" t="n">
        <v>28.7</v>
      </c>
      <c r="O115" s="9">
        <f>IF(N115&lt;0,"Loss","Profit")</f>
        <v/>
      </c>
    </row>
    <row r="116">
      <c r="A116" s="9" t="inlineStr">
        <is>
          <t>ORD-2016-0115</t>
        </is>
      </c>
      <c r="B116" s="10" t="n">
        <v>42712</v>
      </c>
      <c r="C116" s="9" t="inlineStr">
        <is>
          <t>Second Class</t>
        </is>
      </c>
      <c r="D116" s="9" t="inlineStr">
        <is>
          <t>CU-1002</t>
        </is>
      </c>
      <c r="E116" s="9" t="inlineStr">
        <is>
          <t>Diya Kapoor</t>
        </is>
      </c>
      <c r="F116" s="9" t="inlineStr">
        <is>
          <t>Consumer</t>
        </is>
      </c>
      <c r="G116" s="9" t="inlineStr">
        <is>
          <t>East</t>
        </is>
      </c>
      <c r="H116" s="9" t="inlineStr">
        <is>
          <t>FUR-FN-01</t>
        </is>
      </c>
      <c r="I116" s="9" t="inlineStr">
        <is>
          <t>Furniture</t>
        </is>
      </c>
      <c r="J116" s="9" t="inlineStr">
        <is>
          <t>Furnishings</t>
        </is>
      </c>
      <c r="K116" s="11" t="n">
        <v>48.75</v>
      </c>
      <c r="L116" s="12" t="n">
        <v>1</v>
      </c>
      <c r="M116" s="13" t="n">
        <v>0</v>
      </c>
      <c r="N116" s="14" t="n">
        <v>0.57</v>
      </c>
      <c r="O116" s="9">
        <f>IF(N116&lt;0,"Loss","Profit")</f>
        <v/>
      </c>
    </row>
    <row r="117">
      <c r="A117" s="9" t="inlineStr">
        <is>
          <t>ORD-2016-0116</t>
        </is>
      </c>
      <c r="B117" s="10" t="n">
        <v>42712</v>
      </c>
      <c r="C117" s="9" t="inlineStr">
        <is>
          <t>Second Class</t>
        </is>
      </c>
      <c r="D117" s="9" t="inlineStr">
        <is>
          <t>CU-1008</t>
        </is>
      </c>
      <c r="E117" s="9" t="inlineStr">
        <is>
          <t>Ishita Das</t>
        </is>
      </c>
      <c r="F117" s="9" t="inlineStr">
        <is>
          <t>Consumer</t>
        </is>
      </c>
      <c r="G117" s="9" t="inlineStr">
        <is>
          <t>East</t>
        </is>
      </c>
      <c r="H117" s="9" t="inlineStr">
        <is>
          <t>OFS-BI-01</t>
        </is>
      </c>
      <c r="I117" s="9" t="inlineStr">
        <is>
          <t>Office Supplies</t>
        </is>
      </c>
      <c r="J117" s="9" t="inlineStr">
        <is>
          <t>Binders</t>
        </is>
      </c>
      <c r="K117" s="11" t="n">
        <v>23.94</v>
      </c>
      <c r="L117" s="12" t="n">
        <v>3</v>
      </c>
      <c r="M117" s="13" t="n">
        <v>0.3</v>
      </c>
      <c r="N117" s="14" t="n">
        <v>2.69</v>
      </c>
      <c r="O117" s="9">
        <f>IF(N117&lt;0,"Loss","Profit")</f>
        <v/>
      </c>
    </row>
    <row r="118">
      <c r="A118" s="9" t="inlineStr">
        <is>
          <t>ORD-2016-0117</t>
        </is>
      </c>
      <c r="B118" s="10" t="n">
        <v>42722</v>
      </c>
      <c r="C118" s="9" t="inlineStr">
        <is>
          <t>Second Class</t>
        </is>
      </c>
      <c r="D118" s="9" t="inlineStr">
        <is>
          <t>CU-1002</t>
        </is>
      </c>
      <c r="E118" s="9" t="inlineStr">
        <is>
          <t>Diya Kapoor</t>
        </is>
      </c>
      <c r="F118" s="9" t="inlineStr">
        <is>
          <t>Consumer</t>
        </is>
      </c>
      <c r="G118" s="9" t="inlineStr">
        <is>
          <t>East</t>
        </is>
      </c>
      <c r="H118" s="9" t="inlineStr">
        <is>
          <t>TEC-AC-02</t>
        </is>
      </c>
      <c r="I118" s="9" t="inlineStr">
        <is>
          <t>Technology</t>
        </is>
      </c>
      <c r="J118" s="9" t="inlineStr">
        <is>
          <t>Accessories</t>
        </is>
      </c>
      <c r="K118" s="11" t="n">
        <v>604.8</v>
      </c>
      <c r="L118" s="12" t="n">
        <v>4</v>
      </c>
      <c r="M118" s="13" t="n">
        <v>0.2</v>
      </c>
      <c r="N118" s="14" t="n">
        <v>111.02</v>
      </c>
      <c r="O118" s="9">
        <f>IF(N118&lt;0,"Loss","Profit")</f>
        <v/>
      </c>
    </row>
    <row r="119">
      <c r="A119" s="9" t="inlineStr">
        <is>
          <t>ORD-2016-0118</t>
        </is>
      </c>
      <c r="B119" s="10" t="n">
        <v>42725</v>
      </c>
      <c r="C119" s="9" t="inlineStr">
        <is>
          <t>Second Class</t>
        </is>
      </c>
      <c r="D119" s="9" t="inlineStr">
        <is>
          <t>CU-1006</t>
        </is>
      </c>
      <c r="E119" s="9" t="inlineStr">
        <is>
          <t>Meera Nair</t>
        </is>
      </c>
      <c r="F119" s="9" t="inlineStr">
        <is>
          <t>Consumer</t>
        </is>
      </c>
      <c r="G119" s="9" t="inlineStr">
        <is>
          <t>South</t>
        </is>
      </c>
      <c r="H119" s="9" t="inlineStr">
        <is>
          <t>FUR-BK-02</t>
        </is>
      </c>
      <c r="I119" s="9" t="inlineStr">
        <is>
          <t>Furniture</t>
        </is>
      </c>
      <c r="J119" s="9" t="inlineStr">
        <is>
          <t>Bookcases</t>
        </is>
      </c>
      <c r="K119" s="11" t="n">
        <v>328.5</v>
      </c>
      <c r="L119" s="12" t="n">
        <v>1</v>
      </c>
      <c r="M119" s="13" t="n">
        <v>0.1</v>
      </c>
      <c r="N119" s="14" t="n">
        <v>19.48</v>
      </c>
      <c r="O119" s="9">
        <f>IF(N119&lt;0,"Loss","Profit")</f>
        <v/>
      </c>
    </row>
    <row r="120">
      <c r="A120" s="9" t="inlineStr">
        <is>
          <t>ORD-2016-0119</t>
        </is>
      </c>
      <c r="B120" s="10" t="n">
        <v>42730</v>
      </c>
      <c r="C120" s="9" t="inlineStr">
        <is>
          <t>Standard Class</t>
        </is>
      </c>
      <c r="D120" s="9" t="inlineStr">
        <is>
          <t>CU-1015</t>
        </is>
      </c>
      <c r="E120" s="9" t="inlineStr">
        <is>
          <t>Ved Malhotra</t>
        </is>
      </c>
      <c r="F120" s="9" t="inlineStr">
        <is>
          <t>Consumer</t>
        </is>
      </c>
      <c r="G120" s="9" t="inlineStr">
        <is>
          <t>Central</t>
        </is>
      </c>
      <c r="H120" s="9" t="inlineStr">
        <is>
          <t>TEC-PH-02</t>
        </is>
      </c>
      <c r="I120" s="9" t="inlineStr">
        <is>
          <t>Technology</t>
        </is>
      </c>
      <c r="J120" s="9" t="inlineStr">
        <is>
          <t>Phones</t>
        </is>
      </c>
      <c r="K120" s="11" t="n">
        <v>779.9400000000001</v>
      </c>
      <c r="L120" s="12" t="n">
        <v>6</v>
      </c>
      <c r="M120" s="13" t="n">
        <v>0</v>
      </c>
      <c r="N120" s="14" t="n">
        <v>196.74</v>
      </c>
      <c r="O120" s="9">
        <f>IF(N120&lt;0,"Loss","Profit")</f>
        <v/>
      </c>
    </row>
    <row r="121">
      <c r="A121" s="9" t="inlineStr">
        <is>
          <t>ORD-2016-0120</t>
        </is>
      </c>
      <c r="B121" s="10" t="n">
        <v>42731</v>
      </c>
      <c r="C121" s="9" t="inlineStr">
        <is>
          <t>Standard Class</t>
        </is>
      </c>
      <c r="D121" s="9" t="inlineStr">
        <is>
          <t>CU-1002</t>
        </is>
      </c>
      <c r="E121" s="9" t="inlineStr">
        <is>
          <t>Diya Kapoor</t>
        </is>
      </c>
      <c r="F121" s="9" t="inlineStr">
        <is>
          <t>Consumer</t>
        </is>
      </c>
      <c r="G121" s="9" t="inlineStr">
        <is>
          <t>East</t>
        </is>
      </c>
      <c r="H121" s="9" t="inlineStr">
        <is>
          <t>TEC-AC-02</t>
        </is>
      </c>
      <c r="I121" s="9" t="inlineStr">
        <is>
          <t>Technology</t>
        </is>
      </c>
      <c r="J121" s="9" t="inlineStr">
        <is>
          <t>Accessories</t>
        </is>
      </c>
      <c r="K121" s="11" t="n">
        <v>756</v>
      </c>
      <c r="L121" s="12" t="n">
        <v>4</v>
      </c>
      <c r="M121" s="13" t="n">
        <v>0</v>
      </c>
      <c r="N121" s="14" t="n">
        <v>74.47</v>
      </c>
      <c r="O121" s="9">
        <f>IF(N121&lt;0,"Loss","Profit")</f>
        <v/>
      </c>
    </row>
  </sheetData>
  <autoFilter ref="A1:O121"/>
  <conditionalFormatting sqref="N2:N121">
    <cfRule type="cellIs" priority="1" operator="lessThan" dxfId="0">
      <formula>0</formula>
    </cfRule>
  </conditionalFormatting>
  <conditionalFormatting sqref="K2:K121">
    <cfRule type="cellIs" priority="2" operator="greaterThanOrEqual" dxfId="1">
      <formula>1000</formula>
    </cfRule>
  </conditionalFormatting>
  <conditionalFormatting sqref="M2:M121">
    <cfRule type="cellIs" priority="3" operator="greaterThanOrEqual" dxfId="2">
      <formula>0.3</formula>
    </cfRule>
  </conditionalFormatting>
  <conditionalFormatting sqref="O2:O121">
    <cfRule type="cellIs" priority="4" operator="equal" dxfId="0">
      <formula>"Loss"</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Q12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6" customWidth="1" min="3" max="3"/>
    <col width="13" customWidth="1" min="4" max="4"/>
    <col width="20" customWidth="1" min="5" max="5"/>
    <col width="14" customWidth="1" min="6" max="6"/>
    <col width="10" customWidth="1" min="7" max="7"/>
    <col width="13" customWidth="1" min="8" max="8"/>
    <col width="17" customWidth="1" min="9" max="9"/>
    <col width="14" customWidth="1" min="10" max="10"/>
    <col width="13" customWidth="1" min="11" max="11"/>
    <col width="10" customWidth="1" min="12" max="12"/>
    <col width="11" customWidth="1" min="13" max="13"/>
    <col width="14" customWidth="1" min="14" max="14"/>
    <col width="12" customWidth="1" min="15" max="15"/>
    <col width="3" customWidth="1" min="16" max="16"/>
    <col width="70" customWidth="1" min="17" max="17"/>
  </cols>
  <sheetData>
    <row r="1" ht="30" customHeight="1">
      <c r="A1" s="4" t="inlineStr">
        <is>
          <t>Order ID</t>
        </is>
      </c>
      <c r="B1" s="4" t="inlineStr">
        <is>
          <t>Order Date</t>
        </is>
      </c>
      <c r="C1" s="4" t="inlineStr">
        <is>
          <t>Ship Mode</t>
        </is>
      </c>
      <c r="D1" s="4" t="inlineStr">
        <is>
          <t>Customer ID</t>
        </is>
      </c>
      <c r="E1" s="4" t="inlineStr">
        <is>
          <t>Customer Name</t>
        </is>
      </c>
      <c r="F1" s="4" t="inlineStr">
        <is>
          <t>Segment</t>
        </is>
      </c>
      <c r="G1" s="4" t="inlineStr">
        <is>
          <t>Region</t>
        </is>
      </c>
      <c r="H1" s="4" t="inlineStr">
        <is>
          <t>Product ID</t>
        </is>
      </c>
      <c r="I1" s="4" t="inlineStr">
        <is>
          <t>Category</t>
        </is>
      </c>
      <c r="J1" s="4" t="inlineStr">
        <is>
          <t>Sub-Category</t>
        </is>
      </c>
      <c r="K1" s="4" t="inlineStr">
        <is>
          <t>Sales</t>
        </is>
      </c>
      <c r="L1" s="4" t="inlineStr">
        <is>
          <t>Quantity</t>
        </is>
      </c>
      <c r="M1" s="4" t="inlineStr">
        <is>
          <t>Discount</t>
        </is>
      </c>
      <c r="N1" s="4" t="inlineStr">
        <is>
          <t>Profit</t>
        </is>
      </c>
      <c r="O1" s="4" t="inlineStr">
        <is>
          <t>Loss Flag</t>
        </is>
      </c>
      <c r="Q1" s="15" t="inlineStr">
        <is>
          <t>Filter applied: Region = West AND Category = Technology</t>
        </is>
      </c>
    </row>
    <row r="2" hidden="1">
      <c r="A2" s="9">
        <f>Sales_Data!A2</f>
        <v/>
      </c>
      <c r="B2" s="10">
        <f>Sales_Data!B2</f>
        <v/>
      </c>
      <c r="C2" s="9">
        <f>Sales_Data!C2</f>
        <v/>
      </c>
      <c r="D2" s="9">
        <f>Sales_Data!D2</f>
        <v/>
      </c>
      <c r="E2" s="9">
        <f>Sales_Data!E2</f>
        <v/>
      </c>
      <c r="F2" s="9">
        <f>Sales_Data!F2</f>
        <v/>
      </c>
      <c r="G2" s="9">
        <f>Sales_Data!G2</f>
        <v/>
      </c>
      <c r="H2" s="9">
        <f>Sales_Data!H2</f>
        <v/>
      </c>
      <c r="I2" s="9">
        <f>Sales_Data!I2</f>
        <v/>
      </c>
      <c r="J2" s="9">
        <f>Sales_Data!J2</f>
        <v/>
      </c>
      <c r="K2" s="11">
        <f>Sales_Data!K2</f>
        <v/>
      </c>
      <c r="L2" s="12">
        <f>Sales_Data!L2</f>
        <v/>
      </c>
      <c r="M2" s="13">
        <f>Sales_Data!M2</f>
        <v/>
      </c>
      <c r="N2" s="14">
        <f>Sales_Data!N2</f>
        <v/>
      </c>
      <c r="O2" s="9">
        <f>Sales_Data!O2</f>
        <v/>
      </c>
      <c r="Q2" s="8" t="inlineStr">
        <is>
          <t>Records shown: 10 of 120 (other rows are hidden, not deleted)</t>
        </is>
      </c>
    </row>
    <row r="3" hidden="1" ht="28" customHeight="1">
      <c r="A3" s="9">
        <f>Sales_Data!A3</f>
        <v/>
      </c>
      <c r="B3" s="10">
        <f>Sales_Data!B3</f>
        <v/>
      </c>
      <c r="C3" s="9">
        <f>Sales_Data!C3</f>
        <v/>
      </c>
      <c r="D3" s="9">
        <f>Sales_Data!D3</f>
        <v/>
      </c>
      <c r="E3" s="9">
        <f>Sales_Data!E3</f>
        <v/>
      </c>
      <c r="F3" s="9">
        <f>Sales_Data!F3</f>
        <v/>
      </c>
      <c r="G3" s="9">
        <f>Sales_Data!G3</f>
        <v/>
      </c>
      <c r="H3" s="9">
        <f>Sales_Data!H3</f>
        <v/>
      </c>
      <c r="I3" s="9">
        <f>Sales_Data!I3</f>
        <v/>
      </c>
      <c r="J3" s="9">
        <f>Sales_Data!J3</f>
        <v/>
      </c>
      <c r="K3" s="11">
        <f>Sales_Data!K3</f>
        <v/>
      </c>
      <c r="L3" s="12">
        <f>Sales_Data!L3</f>
        <v/>
      </c>
      <c r="M3" s="13">
        <f>Sales_Data!M3</f>
        <v/>
      </c>
      <c r="N3" s="14">
        <f>Sales_Data!N3</f>
        <v/>
      </c>
      <c r="O3" s="9">
        <f>Sales_Data!O3</f>
        <v/>
      </c>
      <c r="Q3" s="16" t="inlineStr">
        <is>
          <t>Values are linked to Sales_Data. To see all records, clear the filter on Region or Category.</t>
        </is>
      </c>
    </row>
    <row r="4" hidden="1">
      <c r="A4" s="9">
        <f>Sales_Data!A4</f>
        <v/>
      </c>
      <c r="B4" s="10">
        <f>Sales_Data!B4</f>
        <v/>
      </c>
      <c r="C4" s="9">
        <f>Sales_Data!C4</f>
        <v/>
      </c>
      <c r="D4" s="9">
        <f>Sales_Data!D4</f>
        <v/>
      </c>
      <c r="E4" s="9">
        <f>Sales_Data!E4</f>
        <v/>
      </c>
      <c r="F4" s="9">
        <f>Sales_Data!F4</f>
        <v/>
      </c>
      <c r="G4" s="9">
        <f>Sales_Data!G4</f>
        <v/>
      </c>
      <c r="H4" s="9">
        <f>Sales_Data!H4</f>
        <v/>
      </c>
      <c r="I4" s="9">
        <f>Sales_Data!I4</f>
        <v/>
      </c>
      <c r="J4" s="9">
        <f>Sales_Data!J4</f>
        <v/>
      </c>
      <c r="K4" s="11">
        <f>Sales_Data!K4</f>
        <v/>
      </c>
      <c r="L4" s="12">
        <f>Sales_Data!L4</f>
        <v/>
      </c>
      <c r="M4" s="13">
        <f>Sales_Data!M4</f>
        <v/>
      </c>
      <c r="N4" s="14">
        <f>Sales_Data!N4</f>
        <v/>
      </c>
      <c r="O4" s="9">
        <f>Sales_Data!O4</f>
        <v/>
      </c>
    </row>
    <row r="5" hidden="1">
      <c r="A5" s="9">
        <f>Sales_Data!A5</f>
        <v/>
      </c>
      <c r="B5" s="10">
        <f>Sales_Data!B5</f>
        <v/>
      </c>
      <c r="C5" s="9">
        <f>Sales_Data!C5</f>
        <v/>
      </c>
      <c r="D5" s="9">
        <f>Sales_Data!D5</f>
        <v/>
      </c>
      <c r="E5" s="9">
        <f>Sales_Data!E5</f>
        <v/>
      </c>
      <c r="F5" s="9">
        <f>Sales_Data!F5</f>
        <v/>
      </c>
      <c r="G5" s="9">
        <f>Sales_Data!G5</f>
        <v/>
      </c>
      <c r="H5" s="9">
        <f>Sales_Data!H5</f>
        <v/>
      </c>
      <c r="I5" s="9">
        <f>Sales_Data!I5</f>
        <v/>
      </c>
      <c r="J5" s="9">
        <f>Sales_Data!J5</f>
        <v/>
      </c>
      <c r="K5" s="11">
        <f>Sales_Data!K5</f>
        <v/>
      </c>
      <c r="L5" s="12">
        <f>Sales_Data!L5</f>
        <v/>
      </c>
      <c r="M5" s="13">
        <f>Sales_Data!M5</f>
        <v/>
      </c>
      <c r="N5" s="14">
        <f>Sales_Data!N5</f>
        <v/>
      </c>
      <c r="O5" s="9">
        <f>Sales_Data!O5</f>
        <v/>
      </c>
    </row>
    <row r="6" hidden="1">
      <c r="A6" s="9">
        <f>Sales_Data!A6</f>
        <v/>
      </c>
      <c r="B6" s="10">
        <f>Sales_Data!B6</f>
        <v/>
      </c>
      <c r="C6" s="9">
        <f>Sales_Data!C6</f>
        <v/>
      </c>
      <c r="D6" s="9">
        <f>Sales_Data!D6</f>
        <v/>
      </c>
      <c r="E6" s="9">
        <f>Sales_Data!E6</f>
        <v/>
      </c>
      <c r="F6" s="9">
        <f>Sales_Data!F6</f>
        <v/>
      </c>
      <c r="G6" s="9">
        <f>Sales_Data!G6</f>
        <v/>
      </c>
      <c r="H6" s="9">
        <f>Sales_Data!H6</f>
        <v/>
      </c>
      <c r="I6" s="9">
        <f>Sales_Data!I6</f>
        <v/>
      </c>
      <c r="J6" s="9">
        <f>Sales_Data!J6</f>
        <v/>
      </c>
      <c r="K6" s="11">
        <f>Sales_Data!K6</f>
        <v/>
      </c>
      <c r="L6" s="12">
        <f>Sales_Data!L6</f>
        <v/>
      </c>
      <c r="M6" s="13">
        <f>Sales_Data!M6</f>
        <v/>
      </c>
      <c r="N6" s="14">
        <f>Sales_Data!N6</f>
        <v/>
      </c>
      <c r="O6" s="9">
        <f>Sales_Data!O6</f>
        <v/>
      </c>
    </row>
    <row r="7">
      <c r="A7" s="9">
        <f>Sales_Data!A7</f>
        <v/>
      </c>
      <c r="B7" s="10">
        <f>Sales_Data!B7</f>
        <v/>
      </c>
      <c r="C7" s="9">
        <f>Sales_Data!C7</f>
        <v/>
      </c>
      <c r="D7" s="9">
        <f>Sales_Data!D7</f>
        <v/>
      </c>
      <c r="E7" s="9">
        <f>Sales_Data!E7</f>
        <v/>
      </c>
      <c r="F7" s="9">
        <f>Sales_Data!F7</f>
        <v/>
      </c>
      <c r="G7" s="9">
        <f>Sales_Data!G7</f>
        <v/>
      </c>
      <c r="H7" s="9">
        <f>Sales_Data!H7</f>
        <v/>
      </c>
      <c r="I7" s="9">
        <f>Sales_Data!I7</f>
        <v/>
      </c>
      <c r="J7" s="9">
        <f>Sales_Data!J7</f>
        <v/>
      </c>
      <c r="K7" s="11">
        <f>Sales_Data!K7</f>
        <v/>
      </c>
      <c r="L7" s="12">
        <f>Sales_Data!L7</f>
        <v/>
      </c>
      <c r="M7" s="13">
        <f>Sales_Data!M7</f>
        <v/>
      </c>
      <c r="N7" s="14">
        <f>Sales_Data!N7</f>
        <v/>
      </c>
      <c r="O7" s="9">
        <f>Sales_Data!O7</f>
        <v/>
      </c>
    </row>
    <row r="8" hidden="1">
      <c r="A8" s="9">
        <f>Sales_Data!A8</f>
        <v/>
      </c>
      <c r="B8" s="10">
        <f>Sales_Data!B8</f>
        <v/>
      </c>
      <c r="C8" s="9">
        <f>Sales_Data!C8</f>
        <v/>
      </c>
      <c r="D8" s="9">
        <f>Sales_Data!D8</f>
        <v/>
      </c>
      <c r="E8" s="9">
        <f>Sales_Data!E8</f>
        <v/>
      </c>
      <c r="F8" s="9">
        <f>Sales_Data!F8</f>
        <v/>
      </c>
      <c r="G8" s="9">
        <f>Sales_Data!G8</f>
        <v/>
      </c>
      <c r="H8" s="9">
        <f>Sales_Data!H8</f>
        <v/>
      </c>
      <c r="I8" s="9">
        <f>Sales_Data!I8</f>
        <v/>
      </c>
      <c r="J8" s="9">
        <f>Sales_Data!J8</f>
        <v/>
      </c>
      <c r="K8" s="11">
        <f>Sales_Data!K8</f>
        <v/>
      </c>
      <c r="L8" s="12">
        <f>Sales_Data!L8</f>
        <v/>
      </c>
      <c r="M8" s="13">
        <f>Sales_Data!M8</f>
        <v/>
      </c>
      <c r="N8" s="14">
        <f>Sales_Data!N8</f>
        <v/>
      </c>
      <c r="O8" s="9">
        <f>Sales_Data!O8</f>
        <v/>
      </c>
    </row>
    <row r="9" hidden="1">
      <c r="A9" s="9">
        <f>Sales_Data!A9</f>
        <v/>
      </c>
      <c r="B9" s="10">
        <f>Sales_Data!B9</f>
        <v/>
      </c>
      <c r="C9" s="9">
        <f>Sales_Data!C9</f>
        <v/>
      </c>
      <c r="D9" s="9">
        <f>Sales_Data!D9</f>
        <v/>
      </c>
      <c r="E9" s="9">
        <f>Sales_Data!E9</f>
        <v/>
      </c>
      <c r="F9" s="9">
        <f>Sales_Data!F9</f>
        <v/>
      </c>
      <c r="G9" s="9">
        <f>Sales_Data!G9</f>
        <v/>
      </c>
      <c r="H9" s="9">
        <f>Sales_Data!H9</f>
        <v/>
      </c>
      <c r="I9" s="9">
        <f>Sales_Data!I9</f>
        <v/>
      </c>
      <c r="J9" s="9">
        <f>Sales_Data!J9</f>
        <v/>
      </c>
      <c r="K9" s="11">
        <f>Sales_Data!K9</f>
        <v/>
      </c>
      <c r="L9" s="12">
        <f>Sales_Data!L9</f>
        <v/>
      </c>
      <c r="M9" s="13">
        <f>Sales_Data!M9</f>
        <v/>
      </c>
      <c r="N9" s="14">
        <f>Sales_Data!N9</f>
        <v/>
      </c>
      <c r="O9" s="9">
        <f>Sales_Data!O9</f>
        <v/>
      </c>
    </row>
    <row r="10" hidden="1">
      <c r="A10" s="9">
        <f>Sales_Data!A10</f>
        <v/>
      </c>
      <c r="B10" s="10">
        <f>Sales_Data!B10</f>
        <v/>
      </c>
      <c r="C10" s="9">
        <f>Sales_Data!C10</f>
        <v/>
      </c>
      <c r="D10" s="9">
        <f>Sales_Data!D10</f>
        <v/>
      </c>
      <c r="E10" s="9">
        <f>Sales_Data!E10</f>
        <v/>
      </c>
      <c r="F10" s="9">
        <f>Sales_Data!F10</f>
        <v/>
      </c>
      <c r="G10" s="9">
        <f>Sales_Data!G10</f>
        <v/>
      </c>
      <c r="H10" s="9">
        <f>Sales_Data!H10</f>
        <v/>
      </c>
      <c r="I10" s="9">
        <f>Sales_Data!I10</f>
        <v/>
      </c>
      <c r="J10" s="9">
        <f>Sales_Data!J10</f>
        <v/>
      </c>
      <c r="K10" s="11">
        <f>Sales_Data!K10</f>
        <v/>
      </c>
      <c r="L10" s="12">
        <f>Sales_Data!L10</f>
        <v/>
      </c>
      <c r="M10" s="13">
        <f>Sales_Data!M10</f>
        <v/>
      </c>
      <c r="N10" s="14">
        <f>Sales_Data!N10</f>
        <v/>
      </c>
      <c r="O10" s="9">
        <f>Sales_Data!O10</f>
        <v/>
      </c>
    </row>
    <row r="11">
      <c r="A11" s="9">
        <f>Sales_Data!A11</f>
        <v/>
      </c>
      <c r="B11" s="10">
        <f>Sales_Data!B11</f>
        <v/>
      </c>
      <c r="C11" s="9">
        <f>Sales_Data!C11</f>
        <v/>
      </c>
      <c r="D11" s="9">
        <f>Sales_Data!D11</f>
        <v/>
      </c>
      <c r="E11" s="9">
        <f>Sales_Data!E11</f>
        <v/>
      </c>
      <c r="F11" s="9">
        <f>Sales_Data!F11</f>
        <v/>
      </c>
      <c r="G11" s="9">
        <f>Sales_Data!G11</f>
        <v/>
      </c>
      <c r="H11" s="9">
        <f>Sales_Data!H11</f>
        <v/>
      </c>
      <c r="I11" s="9">
        <f>Sales_Data!I11</f>
        <v/>
      </c>
      <c r="J11" s="9">
        <f>Sales_Data!J11</f>
        <v/>
      </c>
      <c r="K11" s="11">
        <f>Sales_Data!K11</f>
        <v/>
      </c>
      <c r="L11" s="12">
        <f>Sales_Data!L11</f>
        <v/>
      </c>
      <c r="M11" s="13">
        <f>Sales_Data!M11</f>
        <v/>
      </c>
      <c r="N11" s="14">
        <f>Sales_Data!N11</f>
        <v/>
      </c>
      <c r="O11" s="9">
        <f>Sales_Data!O11</f>
        <v/>
      </c>
    </row>
    <row r="12" hidden="1">
      <c r="A12" s="9">
        <f>Sales_Data!A12</f>
        <v/>
      </c>
      <c r="B12" s="10">
        <f>Sales_Data!B12</f>
        <v/>
      </c>
      <c r="C12" s="9">
        <f>Sales_Data!C12</f>
        <v/>
      </c>
      <c r="D12" s="9">
        <f>Sales_Data!D12</f>
        <v/>
      </c>
      <c r="E12" s="9">
        <f>Sales_Data!E12</f>
        <v/>
      </c>
      <c r="F12" s="9">
        <f>Sales_Data!F12</f>
        <v/>
      </c>
      <c r="G12" s="9">
        <f>Sales_Data!G12</f>
        <v/>
      </c>
      <c r="H12" s="9">
        <f>Sales_Data!H12</f>
        <v/>
      </c>
      <c r="I12" s="9">
        <f>Sales_Data!I12</f>
        <v/>
      </c>
      <c r="J12" s="9">
        <f>Sales_Data!J12</f>
        <v/>
      </c>
      <c r="K12" s="11">
        <f>Sales_Data!K12</f>
        <v/>
      </c>
      <c r="L12" s="12">
        <f>Sales_Data!L12</f>
        <v/>
      </c>
      <c r="M12" s="13">
        <f>Sales_Data!M12</f>
        <v/>
      </c>
      <c r="N12" s="14">
        <f>Sales_Data!N12</f>
        <v/>
      </c>
      <c r="O12" s="9">
        <f>Sales_Data!O12</f>
        <v/>
      </c>
    </row>
    <row r="13">
      <c r="A13" s="9">
        <f>Sales_Data!A13</f>
        <v/>
      </c>
      <c r="B13" s="10">
        <f>Sales_Data!B13</f>
        <v/>
      </c>
      <c r="C13" s="9">
        <f>Sales_Data!C13</f>
        <v/>
      </c>
      <c r="D13" s="9">
        <f>Sales_Data!D13</f>
        <v/>
      </c>
      <c r="E13" s="9">
        <f>Sales_Data!E13</f>
        <v/>
      </c>
      <c r="F13" s="9">
        <f>Sales_Data!F13</f>
        <v/>
      </c>
      <c r="G13" s="9">
        <f>Sales_Data!G13</f>
        <v/>
      </c>
      <c r="H13" s="9">
        <f>Sales_Data!H13</f>
        <v/>
      </c>
      <c r="I13" s="9">
        <f>Sales_Data!I13</f>
        <v/>
      </c>
      <c r="J13" s="9">
        <f>Sales_Data!J13</f>
        <v/>
      </c>
      <c r="K13" s="11">
        <f>Sales_Data!K13</f>
        <v/>
      </c>
      <c r="L13" s="12">
        <f>Sales_Data!L13</f>
        <v/>
      </c>
      <c r="M13" s="13">
        <f>Sales_Data!M13</f>
        <v/>
      </c>
      <c r="N13" s="14">
        <f>Sales_Data!N13</f>
        <v/>
      </c>
      <c r="O13" s="9">
        <f>Sales_Data!O13</f>
        <v/>
      </c>
    </row>
    <row r="14" hidden="1">
      <c r="A14" s="9">
        <f>Sales_Data!A14</f>
        <v/>
      </c>
      <c r="B14" s="10">
        <f>Sales_Data!B14</f>
        <v/>
      </c>
      <c r="C14" s="9">
        <f>Sales_Data!C14</f>
        <v/>
      </c>
      <c r="D14" s="9">
        <f>Sales_Data!D14</f>
        <v/>
      </c>
      <c r="E14" s="9">
        <f>Sales_Data!E14</f>
        <v/>
      </c>
      <c r="F14" s="9">
        <f>Sales_Data!F14</f>
        <v/>
      </c>
      <c r="G14" s="9">
        <f>Sales_Data!G14</f>
        <v/>
      </c>
      <c r="H14" s="9">
        <f>Sales_Data!H14</f>
        <v/>
      </c>
      <c r="I14" s="9">
        <f>Sales_Data!I14</f>
        <v/>
      </c>
      <c r="J14" s="9">
        <f>Sales_Data!J14</f>
        <v/>
      </c>
      <c r="K14" s="11">
        <f>Sales_Data!K14</f>
        <v/>
      </c>
      <c r="L14" s="12">
        <f>Sales_Data!L14</f>
        <v/>
      </c>
      <c r="M14" s="13">
        <f>Sales_Data!M14</f>
        <v/>
      </c>
      <c r="N14" s="14">
        <f>Sales_Data!N14</f>
        <v/>
      </c>
      <c r="O14" s="9">
        <f>Sales_Data!O14</f>
        <v/>
      </c>
    </row>
    <row r="15" hidden="1">
      <c r="A15" s="9">
        <f>Sales_Data!A15</f>
        <v/>
      </c>
      <c r="B15" s="10">
        <f>Sales_Data!B15</f>
        <v/>
      </c>
      <c r="C15" s="9">
        <f>Sales_Data!C15</f>
        <v/>
      </c>
      <c r="D15" s="9">
        <f>Sales_Data!D15</f>
        <v/>
      </c>
      <c r="E15" s="9">
        <f>Sales_Data!E15</f>
        <v/>
      </c>
      <c r="F15" s="9">
        <f>Sales_Data!F15</f>
        <v/>
      </c>
      <c r="G15" s="9">
        <f>Sales_Data!G15</f>
        <v/>
      </c>
      <c r="H15" s="9">
        <f>Sales_Data!H15</f>
        <v/>
      </c>
      <c r="I15" s="9">
        <f>Sales_Data!I15</f>
        <v/>
      </c>
      <c r="J15" s="9">
        <f>Sales_Data!J15</f>
        <v/>
      </c>
      <c r="K15" s="11">
        <f>Sales_Data!K15</f>
        <v/>
      </c>
      <c r="L15" s="12">
        <f>Sales_Data!L15</f>
        <v/>
      </c>
      <c r="M15" s="13">
        <f>Sales_Data!M15</f>
        <v/>
      </c>
      <c r="N15" s="14">
        <f>Sales_Data!N15</f>
        <v/>
      </c>
      <c r="O15" s="9">
        <f>Sales_Data!O15</f>
        <v/>
      </c>
    </row>
    <row r="16" hidden="1">
      <c r="A16" s="9">
        <f>Sales_Data!A16</f>
        <v/>
      </c>
      <c r="B16" s="10">
        <f>Sales_Data!B16</f>
        <v/>
      </c>
      <c r="C16" s="9">
        <f>Sales_Data!C16</f>
        <v/>
      </c>
      <c r="D16" s="9">
        <f>Sales_Data!D16</f>
        <v/>
      </c>
      <c r="E16" s="9">
        <f>Sales_Data!E16</f>
        <v/>
      </c>
      <c r="F16" s="9">
        <f>Sales_Data!F16</f>
        <v/>
      </c>
      <c r="G16" s="9">
        <f>Sales_Data!G16</f>
        <v/>
      </c>
      <c r="H16" s="9">
        <f>Sales_Data!H16</f>
        <v/>
      </c>
      <c r="I16" s="9">
        <f>Sales_Data!I16</f>
        <v/>
      </c>
      <c r="J16" s="9">
        <f>Sales_Data!J16</f>
        <v/>
      </c>
      <c r="K16" s="11">
        <f>Sales_Data!K16</f>
        <v/>
      </c>
      <c r="L16" s="12">
        <f>Sales_Data!L16</f>
        <v/>
      </c>
      <c r="M16" s="13">
        <f>Sales_Data!M16</f>
        <v/>
      </c>
      <c r="N16" s="14">
        <f>Sales_Data!N16</f>
        <v/>
      </c>
      <c r="O16" s="9">
        <f>Sales_Data!O16</f>
        <v/>
      </c>
    </row>
    <row r="17" hidden="1">
      <c r="A17" s="9">
        <f>Sales_Data!A17</f>
        <v/>
      </c>
      <c r="B17" s="10">
        <f>Sales_Data!B17</f>
        <v/>
      </c>
      <c r="C17" s="9">
        <f>Sales_Data!C17</f>
        <v/>
      </c>
      <c r="D17" s="9">
        <f>Sales_Data!D17</f>
        <v/>
      </c>
      <c r="E17" s="9">
        <f>Sales_Data!E17</f>
        <v/>
      </c>
      <c r="F17" s="9">
        <f>Sales_Data!F17</f>
        <v/>
      </c>
      <c r="G17" s="9">
        <f>Sales_Data!G17</f>
        <v/>
      </c>
      <c r="H17" s="9">
        <f>Sales_Data!H17</f>
        <v/>
      </c>
      <c r="I17" s="9">
        <f>Sales_Data!I17</f>
        <v/>
      </c>
      <c r="J17" s="9">
        <f>Sales_Data!J17</f>
        <v/>
      </c>
      <c r="K17" s="11">
        <f>Sales_Data!K17</f>
        <v/>
      </c>
      <c r="L17" s="12">
        <f>Sales_Data!L17</f>
        <v/>
      </c>
      <c r="M17" s="13">
        <f>Sales_Data!M17</f>
        <v/>
      </c>
      <c r="N17" s="14">
        <f>Sales_Data!N17</f>
        <v/>
      </c>
      <c r="O17" s="9">
        <f>Sales_Data!O17</f>
        <v/>
      </c>
    </row>
    <row r="18" hidden="1">
      <c r="A18" s="9">
        <f>Sales_Data!A18</f>
        <v/>
      </c>
      <c r="B18" s="10">
        <f>Sales_Data!B18</f>
        <v/>
      </c>
      <c r="C18" s="9">
        <f>Sales_Data!C18</f>
        <v/>
      </c>
      <c r="D18" s="9">
        <f>Sales_Data!D18</f>
        <v/>
      </c>
      <c r="E18" s="9">
        <f>Sales_Data!E18</f>
        <v/>
      </c>
      <c r="F18" s="9">
        <f>Sales_Data!F18</f>
        <v/>
      </c>
      <c r="G18" s="9">
        <f>Sales_Data!G18</f>
        <v/>
      </c>
      <c r="H18" s="9">
        <f>Sales_Data!H18</f>
        <v/>
      </c>
      <c r="I18" s="9">
        <f>Sales_Data!I18</f>
        <v/>
      </c>
      <c r="J18" s="9">
        <f>Sales_Data!J18</f>
        <v/>
      </c>
      <c r="K18" s="11">
        <f>Sales_Data!K18</f>
        <v/>
      </c>
      <c r="L18" s="12">
        <f>Sales_Data!L18</f>
        <v/>
      </c>
      <c r="M18" s="13">
        <f>Sales_Data!M18</f>
        <v/>
      </c>
      <c r="N18" s="14">
        <f>Sales_Data!N18</f>
        <v/>
      </c>
      <c r="O18" s="9">
        <f>Sales_Data!O18</f>
        <v/>
      </c>
    </row>
    <row r="19" hidden="1">
      <c r="A19" s="9">
        <f>Sales_Data!A19</f>
        <v/>
      </c>
      <c r="B19" s="10">
        <f>Sales_Data!B19</f>
        <v/>
      </c>
      <c r="C19" s="9">
        <f>Sales_Data!C19</f>
        <v/>
      </c>
      <c r="D19" s="9">
        <f>Sales_Data!D19</f>
        <v/>
      </c>
      <c r="E19" s="9">
        <f>Sales_Data!E19</f>
        <v/>
      </c>
      <c r="F19" s="9">
        <f>Sales_Data!F19</f>
        <v/>
      </c>
      <c r="G19" s="9">
        <f>Sales_Data!G19</f>
        <v/>
      </c>
      <c r="H19" s="9">
        <f>Sales_Data!H19</f>
        <v/>
      </c>
      <c r="I19" s="9">
        <f>Sales_Data!I19</f>
        <v/>
      </c>
      <c r="J19" s="9">
        <f>Sales_Data!J19</f>
        <v/>
      </c>
      <c r="K19" s="11">
        <f>Sales_Data!K19</f>
        <v/>
      </c>
      <c r="L19" s="12">
        <f>Sales_Data!L19</f>
        <v/>
      </c>
      <c r="M19" s="13">
        <f>Sales_Data!M19</f>
        <v/>
      </c>
      <c r="N19" s="14">
        <f>Sales_Data!N19</f>
        <v/>
      </c>
      <c r="O19" s="9">
        <f>Sales_Data!O19</f>
        <v/>
      </c>
    </row>
    <row r="20" hidden="1">
      <c r="A20" s="9">
        <f>Sales_Data!A20</f>
        <v/>
      </c>
      <c r="B20" s="10">
        <f>Sales_Data!B20</f>
        <v/>
      </c>
      <c r="C20" s="9">
        <f>Sales_Data!C20</f>
        <v/>
      </c>
      <c r="D20" s="9">
        <f>Sales_Data!D20</f>
        <v/>
      </c>
      <c r="E20" s="9">
        <f>Sales_Data!E20</f>
        <v/>
      </c>
      <c r="F20" s="9">
        <f>Sales_Data!F20</f>
        <v/>
      </c>
      <c r="G20" s="9">
        <f>Sales_Data!G20</f>
        <v/>
      </c>
      <c r="H20" s="9">
        <f>Sales_Data!H20</f>
        <v/>
      </c>
      <c r="I20" s="9">
        <f>Sales_Data!I20</f>
        <v/>
      </c>
      <c r="J20" s="9">
        <f>Sales_Data!J20</f>
        <v/>
      </c>
      <c r="K20" s="11">
        <f>Sales_Data!K20</f>
        <v/>
      </c>
      <c r="L20" s="12">
        <f>Sales_Data!L20</f>
        <v/>
      </c>
      <c r="M20" s="13">
        <f>Sales_Data!M20</f>
        <v/>
      </c>
      <c r="N20" s="14">
        <f>Sales_Data!N20</f>
        <v/>
      </c>
      <c r="O20" s="9">
        <f>Sales_Data!O20</f>
        <v/>
      </c>
    </row>
    <row r="21" hidden="1">
      <c r="A21" s="9">
        <f>Sales_Data!A21</f>
        <v/>
      </c>
      <c r="B21" s="10">
        <f>Sales_Data!B21</f>
        <v/>
      </c>
      <c r="C21" s="9">
        <f>Sales_Data!C21</f>
        <v/>
      </c>
      <c r="D21" s="9">
        <f>Sales_Data!D21</f>
        <v/>
      </c>
      <c r="E21" s="9">
        <f>Sales_Data!E21</f>
        <v/>
      </c>
      <c r="F21" s="9">
        <f>Sales_Data!F21</f>
        <v/>
      </c>
      <c r="G21" s="9">
        <f>Sales_Data!G21</f>
        <v/>
      </c>
      <c r="H21" s="9">
        <f>Sales_Data!H21</f>
        <v/>
      </c>
      <c r="I21" s="9">
        <f>Sales_Data!I21</f>
        <v/>
      </c>
      <c r="J21" s="9">
        <f>Sales_Data!J21</f>
        <v/>
      </c>
      <c r="K21" s="11">
        <f>Sales_Data!K21</f>
        <v/>
      </c>
      <c r="L21" s="12">
        <f>Sales_Data!L21</f>
        <v/>
      </c>
      <c r="M21" s="13">
        <f>Sales_Data!M21</f>
        <v/>
      </c>
      <c r="N21" s="14">
        <f>Sales_Data!N21</f>
        <v/>
      </c>
      <c r="O21" s="9">
        <f>Sales_Data!O21</f>
        <v/>
      </c>
    </row>
    <row r="22" hidden="1">
      <c r="A22" s="9">
        <f>Sales_Data!A22</f>
        <v/>
      </c>
      <c r="B22" s="10">
        <f>Sales_Data!B22</f>
        <v/>
      </c>
      <c r="C22" s="9">
        <f>Sales_Data!C22</f>
        <v/>
      </c>
      <c r="D22" s="9">
        <f>Sales_Data!D22</f>
        <v/>
      </c>
      <c r="E22" s="9">
        <f>Sales_Data!E22</f>
        <v/>
      </c>
      <c r="F22" s="9">
        <f>Sales_Data!F22</f>
        <v/>
      </c>
      <c r="G22" s="9">
        <f>Sales_Data!G22</f>
        <v/>
      </c>
      <c r="H22" s="9">
        <f>Sales_Data!H22</f>
        <v/>
      </c>
      <c r="I22" s="9">
        <f>Sales_Data!I22</f>
        <v/>
      </c>
      <c r="J22" s="9">
        <f>Sales_Data!J22</f>
        <v/>
      </c>
      <c r="K22" s="11">
        <f>Sales_Data!K22</f>
        <v/>
      </c>
      <c r="L22" s="12">
        <f>Sales_Data!L22</f>
        <v/>
      </c>
      <c r="M22" s="13">
        <f>Sales_Data!M22</f>
        <v/>
      </c>
      <c r="N22" s="14">
        <f>Sales_Data!N22</f>
        <v/>
      </c>
      <c r="O22" s="9">
        <f>Sales_Data!O22</f>
        <v/>
      </c>
    </row>
    <row r="23" hidden="1">
      <c r="A23" s="9">
        <f>Sales_Data!A23</f>
        <v/>
      </c>
      <c r="B23" s="10">
        <f>Sales_Data!B23</f>
        <v/>
      </c>
      <c r="C23" s="9">
        <f>Sales_Data!C23</f>
        <v/>
      </c>
      <c r="D23" s="9">
        <f>Sales_Data!D23</f>
        <v/>
      </c>
      <c r="E23" s="9">
        <f>Sales_Data!E23</f>
        <v/>
      </c>
      <c r="F23" s="9">
        <f>Sales_Data!F23</f>
        <v/>
      </c>
      <c r="G23" s="9">
        <f>Sales_Data!G23</f>
        <v/>
      </c>
      <c r="H23" s="9">
        <f>Sales_Data!H23</f>
        <v/>
      </c>
      <c r="I23" s="9">
        <f>Sales_Data!I23</f>
        <v/>
      </c>
      <c r="J23" s="9">
        <f>Sales_Data!J23</f>
        <v/>
      </c>
      <c r="K23" s="11">
        <f>Sales_Data!K23</f>
        <v/>
      </c>
      <c r="L23" s="12">
        <f>Sales_Data!L23</f>
        <v/>
      </c>
      <c r="M23" s="13">
        <f>Sales_Data!M23</f>
        <v/>
      </c>
      <c r="N23" s="14">
        <f>Sales_Data!N23</f>
        <v/>
      </c>
      <c r="O23" s="9">
        <f>Sales_Data!O23</f>
        <v/>
      </c>
    </row>
    <row r="24">
      <c r="A24" s="9">
        <f>Sales_Data!A24</f>
        <v/>
      </c>
      <c r="B24" s="10">
        <f>Sales_Data!B24</f>
        <v/>
      </c>
      <c r="C24" s="9">
        <f>Sales_Data!C24</f>
        <v/>
      </c>
      <c r="D24" s="9">
        <f>Sales_Data!D24</f>
        <v/>
      </c>
      <c r="E24" s="9">
        <f>Sales_Data!E24</f>
        <v/>
      </c>
      <c r="F24" s="9">
        <f>Sales_Data!F24</f>
        <v/>
      </c>
      <c r="G24" s="9">
        <f>Sales_Data!G24</f>
        <v/>
      </c>
      <c r="H24" s="9">
        <f>Sales_Data!H24</f>
        <v/>
      </c>
      <c r="I24" s="9">
        <f>Sales_Data!I24</f>
        <v/>
      </c>
      <c r="J24" s="9">
        <f>Sales_Data!J24</f>
        <v/>
      </c>
      <c r="K24" s="11">
        <f>Sales_Data!K24</f>
        <v/>
      </c>
      <c r="L24" s="12">
        <f>Sales_Data!L24</f>
        <v/>
      </c>
      <c r="M24" s="13">
        <f>Sales_Data!M24</f>
        <v/>
      </c>
      <c r="N24" s="14">
        <f>Sales_Data!N24</f>
        <v/>
      </c>
      <c r="O24" s="9">
        <f>Sales_Data!O24</f>
        <v/>
      </c>
    </row>
    <row r="25" hidden="1">
      <c r="A25" s="9">
        <f>Sales_Data!A25</f>
        <v/>
      </c>
      <c r="B25" s="10">
        <f>Sales_Data!B25</f>
        <v/>
      </c>
      <c r="C25" s="9">
        <f>Sales_Data!C25</f>
        <v/>
      </c>
      <c r="D25" s="9">
        <f>Sales_Data!D25</f>
        <v/>
      </c>
      <c r="E25" s="9">
        <f>Sales_Data!E25</f>
        <v/>
      </c>
      <c r="F25" s="9">
        <f>Sales_Data!F25</f>
        <v/>
      </c>
      <c r="G25" s="9">
        <f>Sales_Data!G25</f>
        <v/>
      </c>
      <c r="H25" s="9">
        <f>Sales_Data!H25</f>
        <v/>
      </c>
      <c r="I25" s="9">
        <f>Sales_Data!I25</f>
        <v/>
      </c>
      <c r="J25" s="9">
        <f>Sales_Data!J25</f>
        <v/>
      </c>
      <c r="K25" s="11">
        <f>Sales_Data!K25</f>
        <v/>
      </c>
      <c r="L25" s="12">
        <f>Sales_Data!L25</f>
        <v/>
      </c>
      <c r="M25" s="13">
        <f>Sales_Data!M25</f>
        <v/>
      </c>
      <c r="N25" s="14">
        <f>Sales_Data!N25</f>
        <v/>
      </c>
      <c r="O25" s="9">
        <f>Sales_Data!O25</f>
        <v/>
      </c>
    </row>
    <row r="26" hidden="1">
      <c r="A26" s="9">
        <f>Sales_Data!A26</f>
        <v/>
      </c>
      <c r="B26" s="10">
        <f>Sales_Data!B26</f>
        <v/>
      </c>
      <c r="C26" s="9">
        <f>Sales_Data!C26</f>
        <v/>
      </c>
      <c r="D26" s="9">
        <f>Sales_Data!D26</f>
        <v/>
      </c>
      <c r="E26" s="9">
        <f>Sales_Data!E26</f>
        <v/>
      </c>
      <c r="F26" s="9">
        <f>Sales_Data!F26</f>
        <v/>
      </c>
      <c r="G26" s="9">
        <f>Sales_Data!G26</f>
        <v/>
      </c>
      <c r="H26" s="9">
        <f>Sales_Data!H26</f>
        <v/>
      </c>
      <c r="I26" s="9">
        <f>Sales_Data!I26</f>
        <v/>
      </c>
      <c r="J26" s="9">
        <f>Sales_Data!J26</f>
        <v/>
      </c>
      <c r="K26" s="11">
        <f>Sales_Data!K26</f>
        <v/>
      </c>
      <c r="L26" s="12">
        <f>Sales_Data!L26</f>
        <v/>
      </c>
      <c r="M26" s="13">
        <f>Sales_Data!M26</f>
        <v/>
      </c>
      <c r="N26" s="14">
        <f>Sales_Data!N26</f>
        <v/>
      </c>
      <c r="O26" s="9">
        <f>Sales_Data!O26</f>
        <v/>
      </c>
    </row>
    <row r="27" hidden="1">
      <c r="A27" s="9">
        <f>Sales_Data!A27</f>
        <v/>
      </c>
      <c r="B27" s="10">
        <f>Sales_Data!B27</f>
        <v/>
      </c>
      <c r="C27" s="9">
        <f>Sales_Data!C27</f>
        <v/>
      </c>
      <c r="D27" s="9">
        <f>Sales_Data!D27</f>
        <v/>
      </c>
      <c r="E27" s="9">
        <f>Sales_Data!E27</f>
        <v/>
      </c>
      <c r="F27" s="9">
        <f>Sales_Data!F27</f>
        <v/>
      </c>
      <c r="G27" s="9">
        <f>Sales_Data!G27</f>
        <v/>
      </c>
      <c r="H27" s="9">
        <f>Sales_Data!H27</f>
        <v/>
      </c>
      <c r="I27" s="9">
        <f>Sales_Data!I27</f>
        <v/>
      </c>
      <c r="J27" s="9">
        <f>Sales_Data!J27</f>
        <v/>
      </c>
      <c r="K27" s="11">
        <f>Sales_Data!K27</f>
        <v/>
      </c>
      <c r="L27" s="12">
        <f>Sales_Data!L27</f>
        <v/>
      </c>
      <c r="M27" s="13">
        <f>Sales_Data!M27</f>
        <v/>
      </c>
      <c r="N27" s="14">
        <f>Sales_Data!N27</f>
        <v/>
      </c>
      <c r="O27" s="9">
        <f>Sales_Data!O27</f>
        <v/>
      </c>
    </row>
    <row r="28" hidden="1">
      <c r="A28" s="9">
        <f>Sales_Data!A28</f>
        <v/>
      </c>
      <c r="B28" s="10">
        <f>Sales_Data!B28</f>
        <v/>
      </c>
      <c r="C28" s="9">
        <f>Sales_Data!C28</f>
        <v/>
      </c>
      <c r="D28" s="9">
        <f>Sales_Data!D28</f>
        <v/>
      </c>
      <c r="E28" s="9">
        <f>Sales_Data!E28</f>
        <v/>
      </c>
      <c r="F28" s="9">
        <f>Sales_Data!F28</f>
        <v/>
      </c>
      <c r="G28" s="9">
        <f>Sales_Data!G28</f>
        <v/>
      </c>
      <c r="H28" s="9">
        <f>Sales_Data!H28</f>
        <v/>
      </c>
      <c r="I28" s="9">
        <f>Sales_Data!I28</f>
        <v/>
      </c>
      <c r="J28" s="9">
        <f>Sales_Data!J28</f>
        <v/>
      </c>
      <c r="K28" s="11">
        <f>Sales_Data!K28</f>
        <v/>
      </c>
      <c r="L28" s="12">
        <f>Sales_Data!L28</f>
        <v/>
      </c>
      <c r="M28" s="13">
        <f>Sales_Data!M28</f>
        <v/>
      </c>
      <c r="N28" s="14">
        <f>Sales_Data!N28</f>
        <v/>
      </c>
      <c r="O28" s="9">
        <f>Sales_Data!O28</f>
        <v/>
      </c>
    </row>
    <row r="29" hidden="1">
      <c r="A29" s="9">
        <f>Sales_Data!A29</f>
        <v/>
      </c>
      <c r="B29" s="10">
        <f>Sales_Data!B29</f>
        <v/>
      </c>
      <c r="C29" s="9">
        <f>Sales_Data!C29</f>
        <v/>
      </c>
      <c r="D29" s="9">
        <f>Sales_Data!D29</f>
        <v/>
      </c>
      <c r="E29" s="9">
        <f>Sales_Data!E29</f>
        <v/>
      </c>
      <c r="F29" s="9">
        <f>Sales_Data!F29</f>
        <v/>
      </c>
      <c r="G29" s="9">
        <f>Sales_Data!G29</f>
        <v/>
      </c>
      <c r="H29" s="9">
        <f>Sales_Data!H29</f>
        <v/>
      </c>
      <c r="I29" s="9">
        <f>Sales_Data!I29</f>
        <v/>
      </c>
      <c r="J29" s="9">
        <f>Sales_Data!J29</f>
        <v/>
      </c>
      <c r="K29" s="11">
        <f>Sales_Data!K29</f>
        <v/>
      </c>
      <c r="L29" s="12">
        <f>Sales_Data!L29</f>
        <v/>
      </c>
      <c r="M29" s="13">
        <f>Sales_Data!M29</f>
        <v/>
      </c>
      <c r="N29" s="14">
        <f>Sales_Data!N29</f>
        <v/>
      </c>
      <c r="O29" s="9">
        <f>Sales_Data!O29</f>
        <v/>
      </c>
    </row>
    <row r="30" hidden="1">
      <c r="A30" s="9">
        <f>Sales_Data!A30</f>
        <v/>
      </c>
      <c r="B30" s="10">
        <f>Sales_Data!B30</f>
        <v/>
      </c>
      <c r="C30" s="9">
        <f>Sales_Data!C30</f>
        <v/>
      </c>
      <c r="D30" s="9">
        <f>Sales_Data!D30</f>
        <v/>
      </c>
      <c r="E30" s="9">
        <f>Sales_Data!E30</f>
        <v/>
      </c>
      <c r="F30" s="9">
        <f>Sales_Data!F30</f>
        <v/>
      </c>
      <c r="G30" s="9">
        <f>Sales_Data!G30</f>
        <v/>
      </c>
      <c r="H30" s="9">
        <f>Sales_Data!H30</f>
        <v/>
      </c>
      <c r="I30" s="9">
        <f>Sales_Data!I30</f>
        <v/>
      </c>
      <c r="J30" s="9">
        <f>Sales_Data!J30</f>
        <v/>
      </c>
      <c r="K30" s="11">
        <f>Sales_Data!K30</f>
        <v/>
      </c>
      <c r="L30" s="12">
        <f>Sales_Data!L30</f>
        <v/>
      </c>
      <c r="M30" s="13">
        <f>Sales_Data!M30</f>
        <v/>
      </c>
      <c r="N30" s="14">
        <f>Sales_Data!N30</f>
        <v/>
      </c>
      <c r="O30" s="9">
        <f>Sales_Data!O30</f>
        <v/>
      </c>
    </row>
    <row r="31" hidden="1">
      <c r="A31" s="9">
        <f>Sales_Data!A31</f>
        <v/>
      </c>
      <c r="B31" s="10">
        <f>Sales_Data!B31</f>
        <v/>
      </c>
      <c r="C31" s="9">
        <f>Sales_Data!C31</f>
        <v/>
      </c>
      <c r="D31" s="9">
        <f>Sales_Data!D31</f>
        <v/>
      </c>
      <c r="E31" s="9">
        <f>Sales_Data!E31</f>
        <v/>
      </c>
      <c r="F31" s="9">
        <f>Sales_Data!F31</f>
        <v/>
      </c>
      <c r="G31" s="9">
        <f>Sales_Data!G31</f>
        <v/>
      </c>
      <c r="H31" s="9">
        <f>Sales_Data!H31</f>
        <v/>
      </c>
      <c r="I31" s="9">
        <f>Sales_Data!I31</f>
        <v/>
      </c>
      <c r="J31" s="9">
        <f>Sales_Data!J31</f>
        <v/>
      </c>
      <c r="K31" s="11">
        <f>Sales_Data!K31</f>
        <v/>
      </c>
      <c r="L31" s="12">
        <f>Sales_Data!L31</f>
        <v/>
      </c>
      <c r="M31" s="13">
        <f>Sales_Data!M31</f>
        <v/>
      </c>
      <c r="N31" s="14">
        <f>Sales_Data!N31</f>
        <v/>
      </c>
      <c r="O31" s="9">
        <f>Sales_Data!O31</f>
        <v/>
      </c>
    </row>
    <row r="32" hidden="1">
      <c r="A32" s="9">
        <f>Sales_Data!A32</f>
        <v/>
      </c>
      <c r="B32" s="10">
        <f>Sales_Data!B32</f>
        <v/>
      </c>
      <c r="C32" s="9">
        <f>Sales_Data!C32</f>
        <v/>
      </c>
      <c r="D32" s="9">
        <f>Sales_Data!D32</f>
        <v/>
      </c>
      <c r="E32" s="9">
        <f>Sales_Data!E32</f>
        <v/>
      </c>
      <c r="F32" s="9">
        <f>Sales_Data!F32</f>
        <v/>
      </c>
      <c r="G32" s="9">
        <f>Sales_Data!G32</f>
        <v/>
      </c>
      <c r="H32" s="9">
        <f>Sales_Data!H32</f>
        <v/>
      </c>
      <c r="I32" s="9">
        <f>Sales_Data!I32</f>
        <v/>
      </c>
      <c r="J32" s="9">
        <f>Sales_Data!J32</f>
        <v/>
      </c>
      <c r="K32" s="11">
        <f>Sales_Data!K32</f>
        <v/>
      </c>
      <c r="L32" s="12">
        <f>Sales_Data!L32</f>
        <v/>
      </c>
      <c r="M32" s="13">
        <f>Sales_Data!M32</f>
        <v/>
      </c>
      <c r="N32" s="14">
        <f>Sales_Data!N32</f>
        <v/>
      </c>
      <c r="O32" s="9">
        <f>Sales_Data!O32</f>
        <v/>
      </c>
    </row>
    <row r="33">
      <c r="A33" s="9">
        <f>Sales_Data!A33</f>
        <v/>
      </c>
      <c r="B33" s="10">
        <f>Sales_Data!B33</f>
        <v/>
      </c>
      <c r="C33" s="9">
        <f>Sales_Data!C33</f>
        <v/>
      </c>
      <c r="D33" s="9">
        <f>Sales_Data!D33</f>
        <v/>
      </c>
      <c r="E33" s="9">
        <f>Sales_Data!E33</f>
        <v/>
      </c>
      <c r="F33" s="9">
        <f>Sales_Data!F33</f>
        <v/>
      </c>
      <c r="G33" s="9">
        <f>Sales_Data!G33</f>
        <v/>
      </c>
      <c r="H33" s="9">
        <f>Sales_Data!H33</f>
        <v/>
      </c>
      <c r="I33" s="9">
        <f>Sales_Data!I33</f>
        <v/>
      </c>
      <c r="J33" s="9">
        <f>Sales_Data!J33</f>
        <v/>
      </c>
      <c r="K33" s="11">
        <f>Sales_Data!K33</f>
        <v/>
      </c>
      <c r="L33" s="12">
        <f>Sales_Data!L33</f>
        <v/>
      </c>
      <c r="M33" s="13">
        <f>Sales_Data!M33</f>
        <v/>
      </c>
      <c r="N33" s="14">
        <f>Sales_Data!N33</f>
        <v/>
      </c>
      <c r="O33" s="9">
        <f>Sales_Data!O33</f>
        <v/>
      </c>
    </row>
    <row r="34" hidden="1">
      <c r="A34" s="9">
        <f>Sales_Data!A34</f>
        <v/>
      </c>
      <c r="B34" s="10">
        <f>Sales_Data!B34</f>
        <v/>
      </c>
      <c r="C34" s="9">
        <f>Sales_Data!C34</f>
        <v/>
      </c>
      <c r="D34" s="9">
        <f>Sales_Data!D34</f>
        <v/>
      </c>
      <c r="E34" s="9">
        <f>Sales_Data!E34</f>
        <v/>
      </c>
      <c r="F34" s="9">
        <f>Sales_Data!F34</f>
        <v/>
      </c>
      <c r="G34" s="9">
        <f>Sales_Data!G34</f>
        <v/>
      </c>
      <c r="H34" s="9">
        <f>Sales_Data!H34</f>
        <v/>
      </c>
      <c r="I34" s="9">
        <f>Sales_Data!I34</f>
        <v/>
      </c>
      <c r="J34" s="9">
        <f>Sales_Data!J34</f>
        <v/>
      </c>
      <c r="K34" s="11">
        <f>Sales_Data!K34</f>
        <v/>
      </c>
      <c r="L34" s="12">
        <f>Sales_Data!L34</f>
        <v/>
      </c>
      <c r="M34" s="13">
        <f>Sales_Data!M34</f>
        <v/>
      </c>
      <c r="N34" s="14">
        <f>Sales_Data!N34</f>
        <v/>
      </c>
      <c r="O34" s="9">
        <f>Sales_Data!O34</f>
        <v/>
      </c>
    </row>
    <row r="35" hidden="1">
      <c r="A35" s="9">
        <f>Sales_Data!A35</f>
        <v/>
      </c>
      <c r="B35" s="10">
        <f>Sales_Data!B35</f>
        <v/>
      </c>
      <c r="C35" s="9">
        <f>Sales_Data!C35</f>
        <v/>
      </c>
      <c r="D35" s="9">
        <f>Sales_Data!D35</f>
        <v/>
      </c>
      <c r="E35" s="9">
        <f>Sales_Data!E35</f>
        <v/>
      </c>
      <c r="F35" s="9">
        <f>Sales_Data!F35</f>
        <v/>
      </c>
      <c r="G35" s="9">
        <f>Sales_Data!G35</f>
        <v/>
      </c>
      <c r="H35" s="9">
        <f>Sales_Data!H35</f>
        <v/>
      </c>
      <c r="I35" s="9">
        <f>Sales_Data!I35</f>
        <v/>
      </c>
      <c r="J35" s="9">
        <f>Sales_Data!J35</f>
        <v/>
      </c>
      <c r="K35" s="11">
        <f>Sales_Data!K35</f>
        <v/>
      </c>
      <c r="L35" s="12">
        <f>Sales_Data!L35</f>
        <v/>
      </c>
      <c r="M35" s="13">
        <f>Sales_Data!M35</f>
        <v/>
      </c>
      <c r="N35" s="14">
        <f>Sales_Data!N35</f>
        <v/>
      </c>
      <c r="O35" s="9">
        <f>Sales_Data!O35</f>
        <v/>
      </c>
    </row>
    <row r="36" hidden="1">
      <c r="A36" s="9">
        <f>Sales_Data!A36</f>
        <v/>
      </c>
      <c r="B36" s="10">
        <f>Sales_Data!B36</f>
        <v/>
      </c>
      <c r="C36" s="9">
        <f>Sales_Data!C36</f>
        <v/>
      </c>
      <c r="D36" s="9">
        <f>Sales_Data!D36</f>
        <v/>
      </c>
      <c r="E36" s="9">
        <f>Sales_Data!E36</f>
        <v/>
      </c>
      <c r="F36" s="9">
        <f>Sales_Data!F36</f>
        <v/>
      </c>
      <c r="G36" s="9">
        <f>Sales_Data!G36</f>
        <v/>
      </c>
      <c r="H36" s="9">
        <f>Sales_Data!H36</f>
        <v/>
      </c>
      <c r="I36" s="9">
        <f>Sales_Data!I36</f>
        <v/>
      </c>
      <c r="J36" s="9">
        <f>Sales_Data!J36</f>
        <v/>
      </c>
      <c r="K36" s="11">
        <f>Sales_Data!K36</f>
        <v/>
      </c>
      <c r="L36" s="12">
        <f>Sales_Data!L36</f>
        <v/>
      </c>
      <c r="M36" s="13">
        <f>Sales_Data!M36</f>
        <v/>
      </c>
      <c r="N36" s="14">
        <f>Sales_Data!N36</f>
        <v/>
      </c>
      <c r="O36" s="9">
        <f>Sales_Data!O36</f>
        <v/>
      </c>
    </row>
    <row r="37" hidden="1">
      <c r="A37" s="9">
        <f>Sales_Data!A37</f>
        <v/>
      </c>
      <c r="B37" s="10">
        <f>Sales_Data!B37</f>
        <v/>
      </c>
      <c r="C37" s="9">
        <f>Sales_Data!C37</f>
        <v/>
      </c>
      <c r="D37" s="9">
        <f>Sales_Data!D37</f>
        <v/>
      </c>
      <c r="E37" s="9">
        <f>Sales_Data!E37</f>
        <v/>
      </c>
      <c r="F37" s="9">
        <f>Sales_Data!F37</f>
        <v/>
      </c>
      <c r="G37" s="9">
        <f>Sales_Data!G37</f>
        <v/>
      </c>
      <c r="H37" s="9">
        <f>Sales_Data!H37</f>
        <v/>
      </c>
      <c r="I37" s="9">
        <f>Sales_Data!I37</f>
        <v/>
      </c>
      <c r="J37" s="9">
        <f>Sales_Data!J37</f>
        <v/>
      </c>
      <c r="K37" s="11">
        <f>Sales_Data!K37</f>
        <v/>
      </c>
      <c r="L37" s="12">
        <f>Sales_Data!L37</f>
        <v/>
      </c>
      <c r="M37" s="13">
        <f>Sales_Data!M37</f>
        <v/>
      </c>
      <c r="N37" s="14">
        <f>Sales_Data!N37</f>
        <v/>
      </c>
      <c r="O37" s="9">
        <f>Sales_Data!O37</f>
        <v/>
      </c>
    </row>
    <row r="38" hidden="1">
      <c r="A38" s="9">
        <f>Sales_Data!A38</f>
        <v/>
      </c>
      <c r="B38" s="10">
        <f>Sales_Data!B38</f>
        <v/>
      </c>
      <c r="C38" s="9">
        <f>Sales_Data!C38</f>
        <v/>
      </c>
      <c r="D38" s="9">
        <f>Sales_Data!D38</f>
        <v/>
      </c>
      <c r="E38" s="9">
        <f>Sales_Data!E38</f>
        <v/>
      </c>
      <c r="F38" s="9">
        <f>Sales_Data!F38</f>
        <v/>
      </c>
      <c r="G38" s="9">
        <f>Sales_Data!G38</f>
        <v/>
      </c>
      <c r="H38" s="9">
        <f>Sales_Data!H38</f>
        <v/>
      </c>
      <c r="I38" s="9">
        <f>Sales_Data!I38</f>
        <v/>
      </c>
      <c r="J38" s="9">
        <f>Sales_Data!J38</f>
        <v/>
      </c>
      <c r="K38" s="11">
        <f>Sales_Data!K38</f>
        <v/>
      </c>
      <c r="L38" s="12">
        <f>Sales_Data!L38</f>
        <v/>
      </c>
      <c r="M38" s="13">
        <f>Sales_Data!M38</f>
        <v/>
      </c>
      <c r="N38" s="14">
        <f>Sales_Data!N38</f>
        <v/>
      </c>
      <c r="O38" s="9">
        <f>Sales_Data!O38</f>
        <v/>
      </c>
    </row>
    <row r="39" hidden="1">
      <c r="A39" s="9">
        <f>Sales_Data!A39</f>
        <v/>
      </c>
      <c r="B39" s="10">
        <f>Sales_Data!B39</f>
        <v/>
      </c>
      <c r="C39" s="9">
        <f>Sales_Data!C39</f>
        <v/>
      </c>
      <c r="D39" s="9">
        <f>Sales_Data!D39</f>
        <v/>
      </c>
      <c r="E39" s="9">
        <f>Sales_Data!E39</f>
        <v/>
      </c>
      <c r="F39" s="9">
        <f>Sales_Data!F39</f>
        <v/>
      </c>
      <c r="G39" s="9">
        <f>Sales_Data!G39</f>
        <v/>
      </c>
      <c r="H39" s="9">
        <f>Sales_Data!H39</f>
        <v/>
      </c>
      <c r="I39" s="9">
        <f>Sales_Data!I39</f>
        <v/>
      </c>
      <c r="J39" s="9">
        <f>Sales_Data!J39</f>
        <v/>
      </c>
      <c r="K39" s="11">
        <f>Sales_Data!K39</f>
        <v/>
      </c>
      <c r="L39" s="12">
        <f>Sales_Data!L39</f>
        <v/>
      </c>
      <c r="M39" s="13">
        <f>Sales_Data!M39</f>
        <v/>
      </c>
      <c r="N39" s="14">
        <f>Sales_Data!N39</f>
        <v/>
      </c>
      <c r="O39" s="9">
        <f>Sales_Data!O39</f>
        <v/>
      </c>
    </row>
    <row r="40" hidden="1">
      <c r="A40" s="9">
        <f>Sales_Data!A40</f>
        <v/>
      </c>
      <c r="B40" s="10">
        <f>Sales_Data!B40</f>
        <v/>
      </c>
      <c r="C40" s="9">
        <f>Sales_Data!C40</f>
        <v/>
      </c>
      <c r="D40" s="9">
        <f>Sales_Data!D40</f>
        <v/>
      </c>
      <c r="E40" s="9">
        <f>Sales_Data!E40</f>
        <v/>
      </c>
      <c r="F40" s="9">
        <f>Sales_Data!F40</f>
        <v/>
      </c>
      <c r="G40" s="9">
        <f>Sales_Data!G40</f>
        <v/>
      </c>
      <c r="H40" s="9">
        <f>Sales_Data!H40</f>
        <v/>
      </c>
      <c r="I40" s="9">
        <f>Sales_Data!I40</f>
        <v/>
      </c>
      <c r="J40" s="9">
        <f>Sales_Data!J40</f>
        <v/>
      </c>
      <c r="K40" s="11">
        <f>Sales_Data!K40</f>
        <v/>
      </c>
      <c r="L40" s="12">
        <f>Sales_Data!L40</f>
        <v/>
      </c>
      <c r="M40" s="13">
        <f>Sales_Data!M40</f>
        <v/>
      </c>
      <c r="N40" s="14">
        <f>Sales_Data!N40</f>
        <v/>
      </c>
      <c r="O40" s="9">
        <f>Sales_Data!O40</f>
        <v/>
      </c>
    </row>
    <row r="41" hidden="1">
      <c r="A41" s="9">
        <f>Sales_Data!A41</f>
        <v/>
      </c>
      <c r="B41" s="10">
        <f>Sales_Data!B41</f>
        <v/>
      </c>
      <c r="C41" s="9">
        <f>Sales_Data!C41</f>
        <v/>
      </c>
      <c r="D41" s="9">
        <f>Sales_Data!D41</f>
        <v/>
      </c>
      <c r="E41" s="9">
        <f>Sales_Data!E41</f>
        <v/>
      </c>
      <c r="F41" s="9">
        <f>Sales_Data!F41</f>
        <v/>
      </c>
      <c r="G41" s="9">
        <f>Sales_Data!G41</f>
        <v/>
      </c>
      <c r="H41" s="9">
        <f>Sales_Data!H41</f>
        <v/>
      </c>
      <c r="I41" s="9">
        <f>Sales_Data!I41</f>
        <v/>
      </c>
      <c r="J41" s="9">
        <f>Sales_Data!J41</f>
        <v/>
      </c>
      <c r="K41" s="11">
        <f>Sales_Data!K41</f>
        <v/>
      </c>
      <c r="L41" s="12">
        <f>Sales_Data!L41</f>
        <v/>
      </c>
      <c r="M41" s="13">
        <f>Sales_Data!M41</f>
        <v/>
      </c>
      <c r="N41" s="14">
        <f>Sales_Data!N41</f>
        <v/>
      </c>
      <c r="O41" s="9">
        <f>Sales_Data!O41</f>
        <v/>
      </c>
    </row>
    <row r="42" hidden="1">
      <c r="A42" s="9">
        <f>Sales_Data!A42</f>
        <v/>
      </c>
      <c r="B42" s="10">
        <f>Sales_Data!B42</f>
        <v/>
      </c>
      <c r="C42" s="9">
        <f>Sales_Data!C42</f>
        <v/>
      </c>
      <c r="D42" s="9">
        <f>Sales_Data!D42</f>
        <v/>
      </c>
      <c r="E42" s="9">
        <f>Sales_Data!E42</f>
        <v/>
      </c>
      <c r="F42" s="9">
        <f>Sales_Data!F42</f>
        <v/>
      </c>
      <c r="G42" s="9">
        <f>Sales_Data!G42</f>
        <v/>
      </c>
      <c r="H42" s="9">
        <f>Sales_Data!H42</f>
        <v/>
      </c>
      <c r="I42" s="9">
        <f>Sales_Data!I42</f>
        <v/>
      </c>
      <c r="J42" s="9">
        <f>Sales_Data!J42</f>
        <v/>
      </c>
      <c r="K42" s="11">
        <f>Sales_Data!K42</f>
        <v/>
      </c>
      <c r="L42" s="12">
        <f>Sales_Data!L42</f>
        <v/>
      </c>
      <c r="M42" s="13">
        <f>Sales_Data!M42</f>
        <v/>
      </c>
      <c r="N42" s="14">
        <f>Sales_Data!N42</f>
        <v/>
      </c>
      <c r="O42" s="9">
        <f>Sales_Data!O42</f>
        <v/>
      </c>
    </row>
    <row r="43" hidden="1">
      <c r="A43" s="9">
        <f>Sales_Data!A43</f>
        <v/>
      </c>
      <c r="B43" s="10">
        <f>Sales_Data!B43</f>
        <v/>
      </c>
      <c r="C43" s="9">
        <f>Sales_Data!C43</f>
        <v/>
      </c>
      <c r="D43" s="9">
        <f>Sales_Data!D43</f>
        <v/>
      </c>
      <c r="E43" s="9">
        <f>Sales_Data!E43</f>
        <v/>
      </c>
      <c r="F43" s="9">
        <f>Sales_Data!F43</f>
        <v/>
      </c>
      <c r="G43" s="9">
        <f>Sales_Data!G43</f>
        <v/>
      </c>
      <c r="H43" s="9">
        <f>Sales_Data!H43</f>
        <v/>
      </c>
      <c r="I43" s="9">
        <f>Sales_Data!I43</f>
        <v/>
      </c>
      <c r="J43" s="9">
        <f>Sales_Data!J43</f>
        <v/>
      </c>
      <c r="K43" s="11">
        <f>Sales_Data!K43</f>
        <v/>
      </c>
      <c r="L43" s="12">
        <f>Sales_Data!L43</f>
        <v/>
      </c>
      <c r="M43" s="13">
        <f>Sales_Data!M43</f>
        <v/>
      </c>
      <c r="N43" s="14">
        <f>Sales_Data!N43</f>
        <v/>
      </c>
      <c r="O43" s="9">
        <f>Sales_Data!O43</f>
        <v/>
      </c>
    </row>
    <row r="44" hidden="1">
      <c r="A44" s="9">
        <f>Sales_Data!A44</f>
        <v/>
      </c>
      <c r="B44" s="10">
        <f>Sales_Data!B44</f>
        <v/>
      </c>
      <c r="C44" s="9">
        <f>Sales_Data!C44</f>
        <v/>
      </c>
      <c r="D44" s="9">
        <f>Sales_Data!D44</f>
        <v/>
      </c>
      <c r="E44" s="9">
        <f>Sales_Data!E44</f>
        <v/>
      </c>
      <c r="F44" s="9">
        <f>Sales_Data!F44</f>
        <v/>
      </c>
      <c r="G44" s="9">
        <f>Sales_Data!G44</f>
        <v/>
      </c>
      <c r="H44" s="9">
        <f>Sales_Data!H44</f>
        <v/>
      </c>
      <c r="I44" s="9">
        <f>Sales_Data!I44</f>
        <v/>
      </c>
      <c r="J44" s="9">
        <f>Sales_Data!J44</f>
        <v/>
      </c>
      <c r="K44" s="11">
        <f>Sales_Data!K44</f>
        <v/>
      </c>
      <c r="L44" s="12">
        <f>Sales_Data!L44</f>
        <v/>
      </c>
      <c r="M44" s="13">
        <f>Sales_Data!M44</f>
        <v/>
      </c>
      <c r="N44" s="14">
        <f>Sales_Data!N44</f>
        <v/>
      </c>
      <c r="O44" s="9">
        <f>Sales_Data!O44</f>
        <v/>
      </c>
    </row>
    <row r="45" hidden="1">
      <c r="A45" s="9">
        <f>Sales_Data!A45</f>
        <v/>
      </c>
      <c r="B45" s="10">
        <f>Sales_Data!B45</f>
        <v/>
      </c>
      <c r="C45" s="9">
        <f>Sales_Data!C45</f>
        <v/>
      </c>
      <c r="D45" s="9">
        <f>Sales_Data!D45</f>
        <v/>
      </c>
      <c r="E45" s="9">
        <f>Sales_Data!E45</f>
        <v/>
      </c>
      <c r="F45" s="9">
        <f>Sales_Data!F45</f>
        <v/>
      </c>
      <c r="G45" s="9">
        <f>Sales_Data!G45</f>
        <v/>
      </c>
      <c r="H45" s="9">
        <f>Sales_Data!H45</f>
        <v/>
      </c>
      <c r="I45" s="9">
        <f>Sales_Data!I45</f>
        <v/>
      </c>
      <c r="J45" s="9">
        <f>Sales_Data!J45</f>
        <v/>
      </c>
      <c r="K45" s="11">
        <f>Sales_Data!K45</f>
        <v/>
      </c>
      <c r="L45" s="12">
        <f>Sales_Data!L45</f>
        <v/>
      </c>
      <c r="M45" s="13">
        <f>Sales_Data!M45</f>
        <v/>
      </c>
      <c r="N45" s="14">
        <f>Sales_Data!N45</f>
        <v/>
      </c>
      <c r="O45" s="9">
        <f>Sales_Data!O45</f>
        <v/>
      </c>
    </row>
    <row r="46" hidden="1">
      <c r="A46" s="9">
        <f>Sales_Data!A46</f>
        <v/>
      </c>
      <c r="B46" s="10">
        <f>Sales_Data!B46</f>
        <v/>
      </c>
      <c r="C46" s="9">
        <f>Sales_Data!C46</f>
        <v/>
      </c>
      <c r="D46" s="9">
        <f>Sales_Data!D46</f>
        <v/>
      </c>
      <c r="E46" s="9">
        <f>Sales_Data!E46</f>
        <v/>
      </c>
      <c r="F46" s="9">
        <f>Sales_Data!F46</f>
        <v/>
      </c>
      <c r="G46" s="9">
        <f>Sales_Data!G46</f>
        <v/>
      </c>
      <c r="H46" s="9">
        <f>Sales_Data!H46</f>
        <v/>
      </c>
      <c r="I46" s="9">
        <f>Sales_Data!I46</f>
        <v/>
      </c>
      <c r="J46" s="9">
        <f>Sales_Data!J46</f>
        <v/>
      </c>
      <c r="K46" s="11">
        <f>Sales_Data!K46</f>
        <v/>
      </c>
      <c r="L46" s="12">
        <f>Sales_Data!L46</f>
        <v/>
      </c>
      <c r="M46" s="13">
        <f>Sales_Data!M46</f>
        <v/>
      </c>
      <c r="N46" s="14">
        <f>Sales_Data!N46</f>
        <v/>
      </c>
      <c r="O46" s="9">
        <f>Sales_Data!O46</f>
        <v/>
      </c>
    </row>
    <row r="47" hidden="1">
      <c r="A47" s="9">
        <f>Sales_Data!A47</f>
        <v/>
      </c>
      <c r="B47" s="10">
        <f>Sales_Data!B47</f>
        <v/>
      </c>
      <c r="C47" s="9">
        <f>Sales_Data!C47</f>
        <v/>
      </c>
      <c r="D47" s="9">
        <f>Sales_Data!D47</f>
        <v/>
      </c>
      <c r="E47" s="9">
        <f>Sales_Data!E47</f>
        <v/>
      </c>
      <c r="F47" s="9">
        <f>Sales_Data!F47</f>
        <v/>
      </c>
      <c r="G47" s="9">
        <f>Sales_Data!G47</f>
        <v/>
      </c>
      <c r="H47" s="9">
        <f>Sales_Data!H47</f>
        <v/>
      </c>
      <c r="I47" s="9">
        <f>Sales_Data!I47</f>
        <v/>
      </c>
      <c r="J47" s="9">
        <f>Sales_Data!J47</f>
        <v/>
      </c>
      <c r="K47" s="11">
        <f>Sales_Data!K47</f>
        <v/>
      </c>
      <c r="L47" s="12">
        <f>Sales_Data!L47</f>
        <v/>
      </c>
      <c r="M47" s="13">
        <f>Sales_Data!M47</f>
        <v/>
      </c>
      <c r="N47" s="14">
        <f>Sales_Data!N47</f>
        <v/>
      </c>
      <c r="O47" s="9">
        <f>Sales_Data!O47</f>
        <v/>
      </c>
    </row>
    <row r="48" hidden="1">
      <c r="A48" s="9">
        <f>Sales_Data!A48</f>
        <v/>
      </c>
      <c r="B48" s="10">
        <f>Sales_Data!B48</f>
        <v/>
      </c>
      <c r="C48" s="9">
        <f>Sales_Data!C48</f>
        <v/>
      </c>
      <c r="D48" s="9">
        <f>Sales_Data!D48</f>
        <v/>
      </c>
      <c r="E48" s="9">
        <f>Sales_Data!E48</f>
        <v/>
      </c>
      <c r="F48" s="9">
        <f>Sales_Data!F48</f>
        <v/>
      </c>
      <c r="G48" s="9">
        <f>Sales_Data!G48</f>
        <v/>
      </c>
      <c r="H48" s="9">
        <f>Sales_Data!H48</f>
        <v/>
      </c>
      <c r="I48" s="9">
        <f>Sales_Data!I48</f>
        <v/>
      </c>
      <c r="J48" s="9">
        <f>Sales_Data!J48</f>
        <v/>
      </c>
      <c r="K48" s="11">
        <f>Sales_Data!K48</f>
        <v/>
      </c>
      <c r="L48" s="12">
        <f>Sales_Data!L48</f>
        <v/>
      </c>
      <c r="M48" s="13">
        <f>Sales_Data!M48</f>
        <v/>
      </c>
      <c r="N48" s="14">
        <f>Sales_Data!N48</f>
        <v/>
      </c>
      <c r="O48" s="9">
        <f>Sales_Data!O48</f>
        <v/>
      </c>
    </row>
    <row r="49" hidden="1">
      <c r="A49" s="9">
        <f>Sales_Data!A49</f>
        <v/>
      </c>
      <c r="B49" s="10">
        <f>Sales_Data!B49</f>
        <v/>
      </c>
      <c r="C49" s="9">
        <f>Sales_Data!C49</f>
        <v/>
      </c>
      <c r="D49" s="9">
        <f>Sales_Data!D49</f>
        <v/>
      </c>
      <c r="E49" s="9">
        <f>Sales_Data!E49</f>
        <v/>
      </c>
      <c r="F49" s="9">
        <f>Sales_Data!F49</f>
        <v/>
      </c>
      <c r="G49" s="9">
        <f>Sales_Data!G49</f>
        <v/>
      </c>
      <c r="H49" s="9">
        <f>Sales_Data!H49</f>
        <v/>
      </c>
      <c r="I49" s="9">
        <f>Sales_Data!I49</f>
        <v/>
      </c>
      <c r="J49" s="9">
        <f>Sales_Data!J49</f>
        <v/>
      </c>
      <c r="K49" s="11">
        <f>Sales_Data!K49</f>
        <v/>
      </c>
      <c r="L49" s="12">
        <f>Sales_Data!L49</f>
        <v/>
      </c>
      <c r="M49" s="13">
        <f>Sales_Data!M49</f>
        <v/>
      </c>
      <c r="N49" s="14">
        <f>Sales_Data!N49</f>
        <v/>
      </c>
      <c r="O49" s="9">
        <f>Sales_Data!O49</f>
        <v/>
      </c>
    </row>
    <row r="50" hidden="1">
      <c r="A50" s="9">
        <f>Sales_Data!A50</f>
        <v/>
      </c>
      <c r="B50" s="10">
        <f>Sales_Data!B50</f>
        <v/>
      </c>
      <c r="C50" s="9">
        <f>Sales_Data!C50</f>
        <v/>
      </c>
      <c r="D50" s="9">
        <f>Sales_Data!D50</f>
        <v/>
      </c>
      <c r="E50" s="9">
        <f>Sales_Data!E50</f>
        <v/>
      </c>
      <c r="F50" s="9">
        <f>Sales_Data!F50</f>
        <v/>
      </c>
      <c r="G50" s="9">
        <f>Sales_Data!G50</f>
        <v/>
      </c>
      <c r="H50" s="9">
        <f>Sales_Data!H50</f>
        <v/>
      </c>
      <c r="I50" s="9">
        <f>Sales_Data!I50</f>
        <v/>
      </c>
      <c r="J50" s="9">
        <f>Sales_Data!J50</f>
        <v/>
      </c>
      <c r="K50" s="11">
        <f>Sales_Data!K50</f>
        <v/>
      </c>
      <c r="L50" s="12">
        <f>Sales_Data!L50</f>
        <v/>
      </c>
      <c r="M50" s="13">
        <f>Sales_Data!M50</f>
        <v/>
      </c>
      <c r="N50" s="14">
        <f>Sales_Data!N50</f>
        <v/>
      </c>
      <c r="O50" s="9">
        <f>Sales_Data!O50</f>
        <v/>
      </c>
    </row>
    <row r="51" hidden="1">
      <c r="A51" s="9">
        <f>Sales_Data!A51</f>
        <v/>
      </c>
      <c r="B51" s="10">
        <f>Sales_Data!B51</f>
        <v/>
      </c>
      <c r="C51" s="9">
        <f>Sales_Data!C51</f>
        <v/>
      </c>
      <c r="D51" s="9">
        <f>Sales_Data!D51</f>
        <v/>
      </c>
      <c r="E51" s="9">
        <f>Sales_Data!E51</f>
        <v/>
      </c>
      <c r="F51" s="9">
        <f>Sales_Data!F51</f>
        <v/>
      </c>
      <c r="G51" s="9">
        <f>Sales_Data!G51</f>
        <v/>
      </c>
      <c r="H51" s="9">
        <f>Sales_Data!H51</f>
        <v/>
      </c>
      <c r="I51" s="9">
        <f>Sales_Data!I51</f>
        <v/>
      </c>
      <c r="J51" s="9">
        <f>Sales_Data!J51</f>
        <v/>
      </c>
      <c r="K51" s="11">
        <f>Sales_Data!K51</f>
        <v/>
      </c>
      <c r="L51" s="12">
        <f>Sales_Data!L51</f>
        <v/>
      </c>
      <c r="M51" s="13">
        <f>Sales_Data!M51</f>
        <v/>
      </c>
      <c r="N51" s="14">
        <f>Sales_Data!N51</f>
        <v/>
      </c>
      <c r="O51" s="9">
        <f>Sales_Data!O51</f>
        <v/>
      </c>
    </row>
    <row r="52" hidden="1">
      <c r="A52" s="9">
        <f>Sales_Data!A52</f>
        <v/>
      </c>
      <c r="B52" s="10">
        <f>Sales_Data!B52</f>
        <v/>
      </c>
      <c r="C52" s="9">
        <f>Sales_Data!C52</f>
        <v/>
      </c>
      <c r="D52" s="9">
        <f>Sales_Data!D52</f>
        <v/>
      </c>
      <c r="E52" s="9">
        <f>Sales_Data!E52</f>
        <v/>
      </c>
      <c r="F52" s="9">
        <f>Sales_Data!F52</f>
        <v/>
      </c>
      <c r="G52" s="9">
        <f>Sales_Data!G52</f>
        <v/>
      </c>
      <c r="H52" s="9">
        <f>Sales_Data!H52</f>
        <v/>
      </c>
      <c r="I52" s="9">
        <f>Sales_Data!I52</f>
        <v/>
      </c>
      <c r="J52" s="9">
        <f>Sales_Data!J52</f>
        <v/>
      </c>
      <c r="K52" s="11">
        <f>Sales_Data!K52</f>
        <v/>
      </c>
      <c r="L52" s="12">
        <f>Sales_Data!L52</f>
        <v/>
      </c>
      <c r="M52" s="13">
        <f>Sales_Data!M52</f>
        <v/>
      </c>
      <c r="N52" s="14">
        <f>Sales_Data!N52</f>
        <v/>
      </c>
      <c r="O52" s="9">
        <f>Sales_Data!O52</f>
        <v/>
      </c>
    </row>
    <row r="53" hidden="1">
      <c r="A53" s="9">
        <f>Sales_Data!A53</f>
        <v/>
      </c>
      <c r="B53" s="10">
        <f>Sales_Data!B53</f>
        <v/>
      </c>
      <c r="C53" s="9">
        <f>Sales_Data!C53</f>
        <v/>
      </c>
      <c r="D53" s="9">
        <f>Sales_Data!D53</f>
        <v/>
      </c>
      <c r="E53" s="9">
        <f>Sales_Data!E53</f>
        <v/>
      </c>
      <c r="F53" s="9">
        <f>Sales_Data!F53</f>
        <v/>
      </c>
      <c r="G53" s="9">
        <f>Sales_Data!G53</f>
        <v/>
      </c>
      <c r="H53" s="9">
        <f>Sales_Data!H53</f>
        <v/>
      </c>
      <c r="I53" s="9">
        <f>Sales_Data!I53</f>
        <v/>
      </c>
      <c r="J53" s="9">
        <f>Sales_Data!J53</f>
        <v/>
      </c>
      <c r="K53" s="11">
        <f>Sales_Data!K53</f>
        <v/>
      </c>
      <c r="L53" s="12">
        <f>Sales_Data!L53</f>
        <v/>
      </c>
      <c r="M53" s="13">
        <f>Sales_Data!M53</f>
        <v/>
      </c>
      <c r="N53" s="14">
        <f>Sales_Data!N53</f>
        <v/>
      </c>
      <c r="O53" s="9">
        <f>Sales_Data!O53</f>
        <v/>
      </c>
    </row>
    <row r="54" hidden="1">
      <c r="A54" s="9">
        <f>Sales_Data!A54</f>
        <v/>
      </c>
      <c r="B54" s="10">
        <f>Sales_Data!B54</f>
        <v/>
      </c>
      <c r="C54" s="9">
        <f>Sales_Data!C54</f>
        <v/>
      </c>
      <c r="D54" s="9">
        <f>Sales_Data!D54</f>
        <v/>
      </c>
      <c r="E54" s="9">
        <f>Sales_Data!E54</f>
        <v/>
      </c>
      <c r="F54" s="9">
        <f>Sales_Data!F54</f>
        <v/>
      </c>
      <c r="G54" s="9">
        <f>Sales_Data!G54</f>
        <v/>
      </c>
      <c r="H54" s="9">
        <f>Sales_Data!H54</f>
        <v/>
      </c>
      <c r="I54" s="9">
        <f>Sales_Data!I54</f>
        <v/>
      </c>
      <c r="J54" s="9">
        <f>Sales_Data!J54</f>
        <v/>
      </c>
      <c r="K54" s="11">
        <f>Sales_Data!K54</f>
        <v/>
      </c>
      <c r="L54" s="12">
        <f>Sales_Data!L54</f>
        <v/>
      </c>
      <c r="M54" s="13">
        <f>Sales_Data!M54</f>
        <v/>
      </c>
      <c r="N54" s="14">
        <f>Sales_Data!N54</f>
        <v/>
      </c>
      <c r="O54" s="9">
        <f>Sales_Data!O54</f>
        <v/>
      </c>
    </row>
    <row r="55" hidden="1">
      <c r="A55" s="9">
        <f>Sales_Data!A55</f>
        <v/>
      </c>
      <c r="B55" s="10">
        <f>Sales_Data!B55</f>
        <v/>
      </c>
      <c r="C55" s="9">
        <f>Sales_Data!C55</f>
        <v/>
      </c>
      <c r="D55" s="9">
        <f>Sales_Data!D55</f>
        <v/>
      </c>
      <c r="E55" s="9">
        <f>Sales_Data!E55</f>
        <v/>
      </c>
      <c r="F55" s="9">
        <f>Sales_Data!F55</f>
        <v/>
      </c>
      <c r="G55" s="9">
        <f>Sales_Data!G55</f>
        <v/>
      </c>
      <c r="H55" s="9">
        <f>Sales_Data!H55</f>
        <v/>
      </c>
      <c r="I55" s="9">
        <f>Sales_Data!I55</f>
        <v/>
      </c>
      <c r="J55" s="9">
        <f>Sales_Data!J55</f>
        <v/>
      </c>
      <c r="K55" s="11">
        <f>Sales_Data!K55</f>
        <v/>
      </c>
      <c r="L55" s="12">
        <f>Sales_Data!L55</f>
        <v/>
      </c>
      <c r="M55" s="13">
        <f>Sales_Data!M55</f>
        <v/>
      </c>
      <c r="N55" s="14">
        <f>Sales_Data!N55</f>
        <v/>
      </c>
      <c r="O55" s="9">
        <f>Sales_Data!O55</f>
        <v/>
      </c>
    </row>
    <row r="56" hidden="1">
      <c r="A56" s="9">
        <f>Sales_Data!A56</f>
        <v/>
      </c>
      <c r="B56" s="10">
        <f>Sales_Data!B56</f>
        <v/>
      </c>
      <c r="C56" s="9">
        <f>Sales_Data!C56</f>
        <v/>
      </c>
      <c r="D56" s="9">
        <f>Sales_Data!D56</f>
        <v/>
      </c>
      <c r="E56" s="9">
        <f>Sales_Data!E56</f>
        <v/>
      </c>
      <c r="F56" s="9">
        <f>Sales_Data!F56</f>
        <v/>
      </c>
      <c r="G56" s="9">
        <f>Sales_Data!G56</f>
        <v/>
      </c>
      <c r="H56" s="9">
        <f>Sales_Data!H56</f>
        <v/>
      </c>
      <c r="I56" s="9">
        <f>Sales_Data!I56</f>
        <v/>
      </c>
      <c r="J56" s="9">
        <f>Sales_Data!J56</f>
        <v/>
      </c>
      <c r="K56" s="11">
        <f>Sales_Data!K56</f>
        <v/>
      </c>
      <c r="L56" s="12">
        <f>Sales_Data!L56</f>
        <v/>
      </c>
      <c r="M56" s="13">
        <f>Sales_Data!M56</f>
        <v/>
      </c>
      <c r="N56" s="14">
        <f>Sales_Data!N56</f>
        <v/>
      </c>
      <c r="O56" s="9">
        <f>Sales_Data!O56</f>
        <v/>
      </c>
    </row>
    <row r="57" hidden="1">
      <c r="A57" s="9">
        <f>Sales_Data!A57</f>
        <v/>
      </c>
      <c r="B57" s="10">
        <f>Sales_Data!B57</f>
        <v/>
      </c>
      <c r="C57" s="9">
        <f>Sales_Data!C57</f>
        <v/>
      </c>
      <c r="D57" s="9">
        <f>Sales_Data!D57</f>
        <v/>
      </c>
      <c r="E57" s="9">
        <f>Sales_Data!E57</f>
        <v/>
      </c>
      <c r="F57" s="9">
        <f>Sales_Data!F57</f>
        <v/>
      </c>
      <c r="G57" s="9">
        <f>Sales_Data!G57</f>
        <v/>
      </c>
      <c r="H57" s="9">
        <f>Sales_Data!H57</f>
        <v/>
      </c>
      <c r="I57" s="9">
        <f>Sales_Data!I57</f>
        <v/>
      </c>
      <c r="J57" s="9">
        <f>Sales_Data!J57</f>
        <v/>
      </c>
      <c r="K57" s="11">
        <f>Sales_Data!K57</f>
        <v/>
      </c>
      <c r="L57" s="12">
        <f>Sales_Data!L57</f>
        <v/>
      </c>
      <c r="M57" s="13">
        <f>Sales_Data!M57</f>
        <v/>
      </c>
      <c r="N57" s="14">
        <f>Sales_Data!N57</f>
        <v/>
      </c>
      <c r="O57" s="9">
        <f>Sales_Data!O57</f>
        <v/>
      </c>
    </row>
    <row r="58" hidden="1">
      <c r="A58" s="9">
        <f>Sales_Data!A58</f>
        <v/>
      </c>
      <c r="B58" s="10">
        <f>Sales_Data!B58</f>
        <v/>
      </c>
      <c r="C58" s="9">
        <f>Sales_Data!C58</f>
        <v/>
      </c>
      <c r="D58" s="9">
        <f>Sales_Data!D58</f>
        <v/>
      </c>
      <c r="E58" s="9">
        <f>Sales_Data!E58</f>
        <v/>
      </c>
      <c r="F58" s="9">
        <f>Sales_Data!F58</f>
        <v/>
      </c>
      <c r="G58" s="9">
        <f>Sales_Data!G58</f>
        <v/>
      </c>
      <c r="H58" s="9">
        <f>Sales_Data!H58</f>
        <v/>
      </c>
      <c r="I58" s="9">
        <f>Sales_Data!I58</f>
        <v/>
      </c>
      <c r="J58" s="9">
        <f>Sales_Data!J58</f>
        <v/>
      </c>
      <c r="K58" s="11">
        <f>Sales_Data!K58</f>
        <v/>
      </c>
      <c r="L58" s="12">
        <f>Sales_Data!L58</f>
        <v/>
      </c>
      <c r="M58" s="13">
        <f>Sales_Data!M58</f>
        <v/>
      </c>
      <c r="N58" s="14">
        <f>Sales_Data!N58</f>
        <v/>
      </c>
      <c r="O58" s="9">
        <f>Sales_Data!O58</f>
        <v/>
      </c>
    </row>
    <row r="59" hidden="1">
      <c r="A59" s="9">
        <f>Sales_Data!A59</f>
        <v/>
      </c>
      <c r="B59" s="10">
        <f>Sales_Data!B59</f>
        <v/>
      </c>
      <c r="C59" s="9">
        <f>Sales_Data!C59</f>
        <v/>
      </c>
      <c r="D59" s="9">
        <f>Sales_Data!D59</f>
        <v/>
      </c>
      <c r="E59" s="9">
        <f>Sales_Data!E59</f>
        <v/>
      </c>
      <c r="F59" s="9">
        <f>Sales_Data!F59</f>
        <v/>
      </c>
      <c r="G59" s="9">
        <f>Sales_Data!G59</f>
        <v/>
      </c>
      <c r="H59" s="9">
        <f>Sales_Data!H59</f>
        <v/>
      </c>
      <c r="I59" s="9">
        <f>Sales_Data!I59</f>
        <v/>
      </c>
      <c r="J59" s="9">
        <f>Sales_Data!J59</f>
        <v/>
      </c>
      <c r="K59" s="11">
        <f>Sales_Data!K59</f>
        <v/>
      </c>
      <c r="L59" s="12">
        <f>Sales_Data!L59</f>
        <v/>
      </c>
      <c r="M59" s="13">
        <f>Sales_Data!M59</f>
        <v/>
      </c>
      <c r="N59" s="14">
        <f>Sales_Data!N59</f>
        <v/>
      </c>
      <c r="O59" s="9">
        <f>Sales_Data!O59</f>
        <v/>
      </c>
    </row>
    <row r="60" hidden="1">
      <c r="A60" s="9">
        <f>Sales_Data!A60</f>
        <v/>
      </c>
      <c r="B60" s="10">
        <f>Sales_Data!B60</f>
        <v/>
      </c>
      <c r="C60" s="9">
        <f>Sales_Data!C60</f>
        <v/>
      </c>
      <c r="D60" s="9">
        <f>Sales_Data!D60</f>
        <v/>
      </c>
      <c r="E60" s="9">
        <f>Sales_Data!E60</f>
        <v/>
      </c>
      <c r="F60" s="9">
        <f>Sales_Data!F60</f>
        <v/>
      </c>
      <c r="G60" s="9">
        <f>Sales_Data!G60</f>
        <v/>
      </c>
      <c r="H60" s="9">
        <f>Sales_Data!H60</f>
        <v/>
      </c>
      <c r="I60" s="9">
        <f>Sales_Data!I60</f>
        <v/>
      </c>
      <c r="J60" s="9">
        <f>Sales_Data!J60</f>
        <v/>
      </c>
      <c r="K60" s="11">
        <f>Sales_Data!K60</f>
        <v/>
      </c>
      <c r="L60" s="12">
        <f>Sales_Data!L60</f>
        <v/>
      </c>
      <c r="M60" s="13">
        <f>Sales_Data!M60</f>
        <v/>
      </c>
      <c r="N60" s="14">
        <f>Sales_Data!N60</f>
        <v/>
      </c>
      <c r="O60" s="9">
        <f>Sales_Data!O60</f>
        <v/>
      </c>
    </row>
    <row r="61" hidden="1">
      <c r="A61" s="9">
        <f>Sales_Data!A61</f>
        <v/>
      </c>
      <c r="B61" s="10">
        <f>Sales_Data!B61</f>
        <v/>
      </c>
      <c r="C61" s="9">
        <f>Sales_Data!C61</f>
        <v/>
      </c>
      <c r="D61" s="9">
        <f>Sales_Data!D61</f>
        <v/>
      </c>
      <c r="E61" s="9">
        <f>Sales_Data!E61</f>
        <v/>
      </c>
      <c r="F61" s="9">
        <f>Sales_Data!F61</f>
        <v/>
      </c>
      <c r="G61" s="9">
        <f>Sales_Data!G61</f>
        <v/>
      </c>
      <c r="H61" s="9">
        <f>Sales_Data!H61</f>
        <v/>
      </c>
      <c r="I61" s="9">
        <f>Sales_Data!I61</f>
        <v/>
      </c>
      <c r="J61" s="9">
        <f>Sales_Data!J61</f>
        <v/>
      </c>
      <c r="K61" s="11">
        <f>Sales_Data!K61</f>
        <v/>
      </c>
      <c r="L61" s="12">
        <f>Sales_Data!L61</f>
        <v/>
      </c>
      <c r="M61" s="13">
        <f>Sales_Data!M61</f>
        <v/>
      </c>
      <c r="N61" s="14">
        <f>Sales_Data!N61</f>
        <v/>
      </c>
      <c r="O61" s="9">
        <f>Sales_Data!O61</f>
        <v/>
      </c>
    </row>
    <row r="62" hidden="1">
      <c r="A62" s="9">
        <f>Sales_Data!A62</f>
        <v/>
      </c>
      <c r="B62" s="10">
        <f>Sales_Data!B62</f>
        <v/>
      </c>
      <c r="C62" s="9">
        <f>Sales_Data!C62</f>
        <v/>
      </c>
      <c r="D62" s="9">
        <f>Sales_Data!D62</f>
        <v/>
      </c>
      <c r="E62" s="9">
        <f>Sales_Data!E62</f>
        <v/>
      </c>
      <c r="F62" s="9">
        <f>Sales_Data!F62</f>
        <v/>
      </c>
      <c r="G62" s="9">
        <f>Sales_Data!G62</f>
        <v/>
      </c>
      <c r="H62" s="9">
        <f>Sales_Data!H62</f>
        <v/>
      </c>
      <c r="I62" s="9">
        <f>Sales_Data!I62</f>
        <v/>
      </c>
      <c r="J62" s="9">
        <f>Sales_Data!J62</f>
        <v/>
      </c>
      <c r="K62" s="11">
        <f>Sales_Data!K62</f>
        <v/>
      </c>
      <c r="L62" s="12">
        <f>Sales_Data!L62</f>
        <v/>
      </c>
      <c r="M62" s="13">
        <f>Sales_Data!M62</f>
        <v/>
      </c>
      <c r="N62" s="14">
        <f>Sales_Data!N62</f>
        <v/>
      </c>
      <c r="O62" s="9">
        <f>Sales_Data!O62</f>
        <v/>
      </c>
    </row>
    <row r="63">
      <c r="A63" s="9">
        <f>Sales_Data!A63</f>
        <v/>
      </c>
      <c r="B63" s="10">
        <f>Sales_Data!B63</f>
        <v/>
      </c>
      <c r="C63" s="9">
        <f>Sales_Data!C63</f>
        <v/>
      </c>
      <c r="D63" s="9">
        <f>Sales_Data!D63</f>
        <v/>
      </c>
      <c r="E63" s="9">
        <f>Sales_Data!E63</f>
        <v/>
      </c>
      <c r="F63" s="9">
        <f>Sales_Data!F63</f>
        <v/>
      </c>
      <c r="G63" s="9">
        <f>Sales_Data!G63</f>
        <v/>
      </c>
      <c r="H63" s="9">
        <f>Sales_Data!H63</f>
        <v/>
      </c>
      <c r="I63" s="9">
        <f>Sales_Data!I63</f>
        <v/>
      </c>
      <c r="J63" s="9">
        <f>Sales_Data!J63</f>
        <v/>
      </c>
      <c r="K63" s="11">
        <f>Sales_Data!K63</f>
        <v/>
      </c>
      <c r="L63" s="12">
        <f>Sales_Data!L63</f>
        <v/>
      </c>
      <c r="M63" s="13">
        <f>Sales_Data!M63</f>
        <v/>
      </c>
      <c r="N63" s="14">
        <f>Sales_Data!N63</f>
        <v/>
      </c>
      <c r="O63" s="9">
        <f>Sales_Data!O63</f>
        <v/>
      </c>
    </row>
    <row r="64" hidden="1">
      <c r="A64" s="9">
        <f>Sales_Data!A64</f>
        <v/>
      </c>
      <c r="B64" s="10">
        <f>Sales_Data!B64</f>
        <v/>
      </c>
      <c r="C64" s="9">
        <f>Sales_Data!C64</f>
        <v/>
      </c>
      <c r="D64" s="9">
        <f>Sales_Data!D64</f>
        <v/>
      </c>
      <c r="E64" s="9">
        <f>Sales_Data!E64</f>
        <v/>
      </c>
      <c r="F64" s="9">
        <f>Sales_Data!F64</f>
        <v/>
      </c>
      <c r="G64" s="9">
        <f>Sales_Data!G64</f>
        <v/>
      </c>
      <c r="H64" s="9">
        <f>Sales_Data!H64</f>
        <v/>
      </c>
      <c r="I64" s="9">
        <f>Sales_Data!I64</f>
        <v/>
      </c>
      <c r="J64" s="9">
        <f>Sales_Data!J64</f>
        <v/>
      </c>
      <c r="K64" s="11">
        <f>Sales_Data!K64</f>
        <v/>
      </c>
      <c r="L64" s="12">
        <f>Sales_Data!L64</f>
        <v/>
      </c>
      <c r="M64" s="13">
        <f>Sales_Data!M64</f>
        <v/>
      </c>
      <c r="N64" s="14">
        <f>Sales_Data!N64</f>
        <v/>
      </c>
      <c r="O64" s="9">
        <f>Sales_Data!O64</f>
        <v/>
      </c>
    </row>
    <row r="65" hidden="1">
      <c r="A65" s="9">
        <f>Sales_Data!A65</f>
        <v/>
      </c>
      <c r="B65" s="10">
        <f>Sales_Data!B65</f>
        <v/>
      </c>
      <c r="C65" s="9">
        <f>Sales_Data!C65</f>
        <v/>
      </c>
      <c r="D65" s="9">
        <f>Sales_Data!D65</f>
        <v/>
      </c>
      <c r="E65" s="9">
        <f>Sales_Data!E65</f>
        <v/>
      </c>
      <c r="F65" s="9">
        <f>Sales_Data!F65</f>
        <v/>
      </c>
      <c r="G65" s="9">
        <f>Sales_Data!G65</f>
        <v/>
      </c>
      <c r="H65" s="9">
        <f>Sales_Data!H65</f>
        <v/>
      </c>
      <c r="I65" s="9">
        <f>Sales_Data!I65</f>
        <v/>
      </c>
      <c r="J65" s="9">
        <f>Sales_Data!J65</f>
        <v/>
      </c>
      <c r="K65" s="11">
        <f>Sales_Data!K65</f>
        <v/>
      </c>
      <c r="L65" s="12">
        <f>Sales_Data!L65</f>
        <v/>
      </c>
      <c r="M65" s="13">
        <f>Sales_Data!M65</f>
        <v/>
      </c>
      <c r="N65" s="14">
        <f>Sales_Data!N65</f>
        <v/>
      </c>
      <c r="O65" s="9">
        <f>Sales_Data!O65</f>
        <v/>
      </c>
    </row>
    <row r="66" hidden="1">
      <c r="A66" s="9">
        <f>Sales_Data!A66</f>
        <v/>
      </c>
      <c r="B66" s="10">
        <f>Sales_Data!B66</f>
        <v/>
      </c>
      <c r="C66" s="9">
        <f>Sales_Data!C66</f>
        <v/>
      </c>
      <c r="D66" s="9">
        <f>Sales_Data!D66</f>
        <v/>
      </c>
      <c r="E66" s="9">
        <f>Sales_Data!E66</f>
        <v/>
      </c>
      <c r="F66" s="9">
        <f>Sales_Data!F66</f>
        <v/>
      </c>
      <c r="G66" s="9">
        <f>Sales_Data!G66</f>
        <v/>
      </c>
      <c r="H66" s="9">
        <f>Sales_Data!H66</f>
        <v/>
      </c>
      <c r="I66" s="9">
        <f>Sales_Data!I66</f>
        <v/>
      </c>
      <c r="J66" s="9">
        <f>Sales_Data!J66</f>
        <v/>
      </c>
      <c r="K66" s="11">
        <f>Sales_Data!K66</f>
        <v/>
      </c>
      <c r="L66" s="12">
        <f>Sales_Data!L66</f>
        <v/>
      </c>
      <c r="M66" s="13">
        <f>Sales_Data!M66</f>
        <v/>
      </c>
      <c r="N66" s="14">
        <f>Sales_Data!N66</f>
        <v/>
      </c>
      <c r="O66" s="9">
        <f>Sales_Data!O66</f>
        <v/>
      </c>
    </row>
    <row r="67" hidden="1">
      <c r="A67" s="9">
        <f>Sales_Data!A67</f>
        <v/>
      </c>
      <c r="B67" s="10">
        <f>Sales_Data!B67</f>
        <v/>
      </c>
      <c r="C67" s="9">
        <f>Sales_Data!C67</f>
        <v/>
      </c>
      <c r="D67" s="9">
        <f>Sales_Data!D67</f>
        <v/>
      </c>
      <c r="E67" s="9">
        <f>Sales_Data!E67</f>
        <v/>
      </c>
      <c r="F67" s="9">
        <f>Sales_Data!F67</f>
        <v/>
      </c>
      <c r="G67" s="9">
        <f>Sales_Data!G67</f>
        <v/>
      </c>
      <c r="H67" s="9">
        <f>Sales_Data!H67</f>
        <v/>
      </c>
      <c r="I67" s="9">
        <f>Sales_Data!I67</f>
        <v/>
      </c>
      <c r="J67" s="9">
        <f>Sales_Data!J67</f>
        <v/>
      </c>
      <c r="K67" s="11">
        <f>Sales_Data!K67</f>
        <v/>
      </c>
      <c r="L67" s="12">
        <f>Sales_Data!L67</f>
        <v/>
      </c>
      <c r="M67" s="13">
        <f>Sales_Data!M67</f>
        <v/>
      </c>
      <c r="N67" s="14">
        <f>Sales_Data!N67</f>
        <v/>
      </c>
      <c r="O67" s="9">
        <f>Sales_Data!O67</f>
        <v/>
      </c>
    </row>
    <row r="68" hidden="1">
      <c r="A68" s="9">
        <f>Sales_Data!A68</f>
        <v/>
      </c>
      <c r="B68" s="10">
        <f>Sales_Data!B68</f>
        <v/>
      </c>
      <c r="C68" s="9">
        <f>Sales_Data!C68</f>
        <v/>
      </c>
      <c r="D68" s="9">
        <f>Sales_Data!D68</f>
        <v/>
      </c>
      <c r="E68" s="9">
        <f>Sales_Data!E68</f>
        <v/>
      </c>
      <c r="F68" s="9">
        <f>Sales_Data!F68</f>
        <v/>
      </c>
      <c r="G68" s="9">
        <f>Sales_Data!G68</f>
        <v/>
      </c>
      <c r="H68" s="9">
        <f>Sales_Data!H68</f>
        <v/>
      </c>
      <c r="I68" s="9">
        <f>Sales_Data!I68</f>
        <v/>
      </c>
      <c r="J68" s="9">
        <f>Sales_Data!J68</f>
        <v/>
      </c>
      <c r="K68" s="11">
        <f>Sales_Data!K68</f>
        <v/>
      </c>
      <c r="L68" s="12">
        <f>Sales_Data!L68</f>
        <v/>
      </c>
      <c r="M68" s="13">
        <f>Sales_Data!M68</f>
        <v/>
      </c>
      <c r="N68" s="14">
        <f>Sales_Data!N68</f>
        <v/>
      </c>
      <c r="O68" s="9">
        <f>Sales_Data!O68</f>
        <v/>
      </c>
    </row>
    <row r="69" hidden="1">
      <c r="A69" s="9">
        <f>Sales_Data!A69</f>
        <v/>
      </c>
      <c r="B69" s="10">
        <f>Sales_Data!B69</f>
        <v/>
      </c>
      <c r="C69" s="9">
        <f>Sales_Data!C69</f>
        <v/>
      </c>
      <c r="D69" s="9">
        <f>Sales_Data!D69</f>
        <v/>
      </c>
      <c r="E69" s="9">
        <f>Sales_Data!E69</f>
        <v/>
      </c>
      <c r="F69" s="9">
        <f>Sales_Data!F69</f>
        <v/>
      </c>
      <c r="G69" s="9">
        <f>Sales_Data!G69</f>
        <v/>
      </c>
      <c r="H69" s="9">
        <f>Sales_Data!H69</f>
        <v/>
      </c>
      <c r="I69" s="9">
        <f>Sales_Data!I69</f>
        <v/>
      </c>
      <c r="J69" s="9">
        <f>Sales_Data!J69</f>
        <v/>
      </c>
      <c r="K69" s="11">
        <f>Sales_Data!K69</f>
        <v/>
      </c>
      <c r="L69" s="12">
        <f>Sales_Data!L69</f>
        <v/>
      </c>
      <c r="M69" s="13">
        <f>Sales_Data!M69</f>
        <v/>
      </c>
      <c r="N69" s="14">
        <f>Sales_Data!N69</f>
        <v/>
      </c>
      <c r="O69" s="9">
        <f>Sales_Data!O69</f>
        <v/>
      </c>
    </row>
    <row r="70" hidden="1">
      <c r="A70" s="9">
        <f>Sales_Data!A70</f>
        <v/>
      </c>
      <c r="B70" s="10">
        <f>Sales_Data!B70</f>
        <v/>
      </c>
      <c r="C70" s="9">
        <f>Sales_Data!C70</f>
        <v/>
      </c>
      <c r="D70" s="9">
        <f>Sales_Data!D70</f>
        <v/>
      </c>
      <c r="E70" s="9">
        <f>Sales_Data!E70</f>
        <v/>
      </c>
      <c r="F70" s="9">
        <f>Sales_Data!F70</f>
        <v/>
      </c>
      <c r="G70" s="9">
        <f>Sales_Data!G70</f>
        <v/>
      </c>
      <c r="H70" s="9">
        <f>Sales_Data!H70</f>
        <v/>
      </c>
      <c r="I70" s="9">
        <f>Sales_Data!I70</f>
        <v/>
      </c>
      <c r="J70" s="9">
        <f>Sales_Data!J70</f>
        <v/>
      </c>
      <c r="K70" s="11">
        <f>Sales_Data!K70</f>
        <v/>
      </c>
      <c r="L70" s="12">
        <f>Sales_Data!L70</f>
        <v/>
      </c>
      <c r="M70" s="13">
        <f>Sales_Data!M70</f>
        <v/>
      </c>
      <c r="N70" s="14">
        <f>Sales_Data!N70</f>
        <v/>
      </c>
      <c r="O70" s="9">
        <f>Sales_Data!O70</f>
        <v/>
      </c>
    </row>
    <row r="71" hidden="1">
      <c r="A71" s="9">
        <f>Sales_Data!A71</f>
        <v/>
      </c>
      <c r="B71" s="10">
        <f>Sales_Data!B71</f>
        <v/>
      </c>
      <c r="C71" s="9">
        <f>Sales_Data!C71</f>
        <v/>
      </c>
      <c r="D71" s="9">
        <f>Sales_Data!D71</f>
        <v/>
      </c>
      <c r="E71" s="9">
        <f>Sales_Data!E71</f>
        <v/>
      </c>
      <c r="F71" s="9">
        <f>Sales_Data!F71</f>
        <v/>
      </c>
      <c r="G71" s="9">
        <f>Sales_Data!G71</f>
        <v/>
      </c>
      <c r="H71" s="9">
        <f>Sales_Data!H71</f>
        <v/>
      </c>
      <c r="I71" s="9">
        <f>Sales_Data!I71</f>
        <v/>
      </c>
      <c r="J71" s="9">
        <f>Sales_Data!J71</f>
        <v/>
      </c>
      <c r="K71" s="11">
        <f>Sales_Data!K71</f>
        <v/>
      </c>
      <c r="L71" s="12">
        <f>Sales_Data!L71</f>
        <v/>
      </c>
      <c r="M71" s="13">
        <f>Sales_Data!M71</f>
        <v/>
      </c>
      <c r="N71" s="14">
        <f>Sales_Data!N71</f>
        <v/>
      </c>
      <c r="O71" s="9">
        <f>Sales_Data!O71</f>
        <v/>
      </c>
    </row>
    <row r="72" hidden="1">
      <c r="A72" s="9">
        <f>Sales_Data!A72</f>
        <v/>
      </c>
      <c r="B72" s="10">
        <f>Sales_Data!B72</f>
        <v/>
      </c>
      <c r="C72" s="9">
        <f>Sales_Data!C72</f>
        <v/>
      </c>
      <c r="D72" s="9">
        <f>Sales_Data!D72</f>
        <v/>
      </c>
      <c r="E72" s="9">
        <f>Sales_Data!E72</f>
        <v/>
      </c>
      <c r="F72" s="9">
        <f>Sales_Data!F72</f>
        <v/>
      </c>
      <c r="G72" s="9">
        <f>Sales_Data!G72</f>
        <v/>
      </c>
      <c r="H72" s="9">
        <f>Sales_Data!H72</f>
        <v/>
      </c>
      <c r="I72" s="9">
        <f>Sales_Data!I72</f>
        <v/>
      </c>
      <c r="J72" s="9">
        <f>Sales_Data!J72</f>
        <v/>
      </c>
      <c r="K72" s="11">
        <f>Sales_Data!K72</f>
        <v/>
      </c>
      <c r="L72" s="12">
        <f>Sales_Data!L72</f>
        <v/>
      </c>
      <c r="M72" s="13">
        <f>Sales_Data!M72</f>
        <v/>
      </c>
      <c r="N72" s="14">
        <f>Sales_Data!N72</f>
        <v/>
      </c>
      <c r="O72" s="9">
        <f>Sales_Data!O72</f>
        <v/>
      </c>
    </row>
    <row r="73" hidden="1">
      <c r="A73" s="9">
        <f>Sales_Data!A73</f>
        <v/>
      </c>
      <c r="B73" s="10">
        <f>Sales_Data!B73</f>
        <v/>
      </c>
      <c r="C73" s="9">
        <f>Sales_Data!C73</f>
        <v/>
      </c>
      <c r="D73" s="9">
        <f>Sales_Data!D73</f>
        <v/>
      </c>
      <c r="E73" s="9">
        <f>Sales_Data!E73</f>
        <v/>
      </c>
      <c r="F73" s="9">
        <f>Sales_Data!F73</f>
        <v/>
      </c>
      <c r="G73" s="9">
        <f>Sales_Data!G73</f>
        <v/>
      </c>
      <c r="H73" s="9">
        <f>Sales_Data!H73</f>
        <v/>
      </c>
      <c r="I73" s="9">
        <f>Sales_Data!I73</f>
        <v/>
      </c>
      <c r="J73" s="9">
        <f>Sales_Data!J73</f>
        <v/>
      </c>
      <c r="K73" s="11">
        <f>Sales_Data!K73</f>
        <v/>
      </c>
      <c r="L73" s="12">
        <f>Sales_Data!L73</f>
        <v/>
      </c>
      <c r="M73" s="13">
        <f>Sales_Data!M73</f>
        <v/>
      </c>
      <c r="N73" s="14">
        <f>Sales_Data!N73</f>
        <v/>
      </c>
      <c r="O73" s="9">
        <f>Sales_Data!O73</f>
        <v/>
      </c>
    </row>
    <row r="74" hidden="1">
      <c r="A74" s="9">
        <f>Sales_Data!A74</f>
        <v/>
      </c>
      <c r="B74" s="10">
        <f>Sales_Data!B74</f>
        <v/>
      </c>
      <c r="C74" s="9">
        <f>Sales_Data!C74</f>
        <v/>
      </c>
      <c r="D74" s="9">
        <f>Sales_Data!D74</f>
        <v/>
      </c>
      <c r="E74" s="9">
        <f>Sales_Data!E74</f>
        <v/>
      </c>
      <c r="F74" s="9">
        <f>Sales_Data!F74</f>
        <v/>
      </c>
      <c r="G74" s="9">
        <f>Sales_Data!G74</f>
        <v/>
      </c>
      <c r="H74" s="9">
        <f>Sales_Data!H74</f>
        <v/>
      </c>
      <c r="I74" s="9">
        <f>Sales_Data!I74</f>
        <v/>
      </c>
      <c r="J74" s="9">
        <f>Sales_Data!J74</f>
        <v/>
      </c>
      <c r="K74" s="11">
        <f>Sales_Data!K74</f>
        <v/>
      </c>
      <c r="L74" s="12">
        <f>Sales_Data!L74</f>
        <v/>
      </c>
      <c r="M74" s="13">
        <f>Sales_Data!M74</f>
        <v/>
      </c>
      <c r="N74" s="14">
        <f>Sales_Data!N74</f>
        <v/>
      </c>
      <c r="O74" s="9">
        <f>Sales_Data!O74</f>
        <v/>
      </c>
    </row>
    <row r="75" hidden="1">
      <c r="A75" s="9">
        <f>Sales_Data!A75</f>
        <v/>
      </c>
      <c r="B75" s="10">
        <f>Sales_Data!B75</f>
        <v/>
      </c>
      <c r="C75" s="9">
        <f>Sales_Data!C75</f>
        <v/>
      </c>
      <c r="D75" s="9">
        <f>Sales_Data!D75</f>
        <v/>
      </c>
      <c r="E75" s="9">
        <f>Sales_Data!E75</f>
        <v/>
      </c>
      <c r="F75" s="9">
        <f>Sales_Data!F75</f>
        <v/>
      </c>
      <c r="G75" s="9">
        <f>Sales_Data!G75</f>
        <v/>
      </c>
      <c r="H75" s="9">
        <f>Sales_Data!H75</f>
        <v/>
      </c>
      <c r="I75" s="9">
        <f>Sales_Data!I75</f>
        <v/>
      </c>
      <c r="J75" s="9">
        <f>Sales_Data!J75</f>
        <v/>
      </c>
      <c r="K75" s="11">
        <f>Sales_Data!K75</f>
        <v/>
      </c>
      <c r="L75" s="12">
        <f>Sales_Data!L75</f>
        <v/>
      </c>
      <c r="M75" s="13">
        <f>Sales_Data!M75</f>
        <v/>
      </c>
      <c r="N75" s="14">
        <f>Sales_Data!N75</f>
        <v/>
      </c>
      <c r="O75" s="9">
        <f>Sales_Data!O75</f>
        <v/>
      </c>
    </row>
    <row r="76" hidden="1">
      <c r="A76" s="9">
        <f>Sales_Data!A76</f>
        <v/>
      </c>
      <c r="B76" s="10">
        <f>Sales_Data!B76</f>
        <v/>
      </c>
      <c r="C76" s="9">
        <f>Sales_Data!C76</f>
        <v/>
      </c>
      <c r="D76" s="9">
        <f>Sales_Data!D76</f>
        <v/>
      </c>
      <c r="E76" s="9">
        <f>Sales_Data!E76</f>
        <v/>
      </c>
      <c r="F76" s="9">
        <f>Sales_Data!F76</f>
        <v/>
      </c>
      <c r="G76" s="9">
        <f>Sales_Data!G76</f>
        <v/>
      </c>
      <c r="H76" s="9">
        <f>Sales_Data!H76</f>
        <v/>
      </c>
      <c r="I76" s="9">
        <f>Sales_Data!I76</f>
        <v/>
      </c>
      <c r="J76" s="9">
        <f>Sales_Data!J76</f>
        <v/>
      </c>
      <c r="K76" s="11">
        <f>Sales_Data!K76</f>
        <v/>
      </c>
      <c r="L76" s="12">
        <f>Sales_Data!L76</f>
        <v/>
      </c>
      <c r="M76" s="13">
        <f>Sales_Data!M76</f>
        <v/>
      </c>
      <c r="N76" s="14">
        <f>Sales_Data!N76</f>
        <v/>
      </c>
      <c r="O76" s="9">
        <f>Sales_Data!O76</f>
        <v/>
      </c>
    </row>
    <row r="77" hidden="1">
      <c r="A77" s="9">
        <f>Sales_Data!A77</f>
        <v/>
      </c>
      <c r="B77" s="10">
        <f>Sales_Data!B77</f>
        <v/>
      </c>
      <c r="C77" s="9">
        <f>Sales_Data!C77</f>
        <v/>
      </c>
      <c r="D77" s="9">
        <f>Sales_Data!D77</f>
        <v/>
      </c>
      <c r="E77" s="9">
        <f>Sales_Data!E77</f>
        <v/>
      </c>
      <c r="F77" s="9">
        <f>Sales_Data!F77</f>
        <v/>
      </c>
      <c r="G77" s="9">
        <f>Sales_Data!G77</f>
        <v/>
      </c>
      <c r="H77" s="9">
        <f>Sales_Data!H77</f>
        <v/>
      </c>
      <c r="I77" s="9">
        <f>Sales_Data!I77</f>
        <v/>
      </c>
      <c r="J77" s="9">
        <f>Sales_Data!J77</f>
        <v/>
      </c>
      <c r="K77" s="11">
        <f>Sales_Data!K77</f>
        <v/>
      </c>
      <c r="L77" s="12">
        <f>Sales_Data!L77</f>
        <v/>
      </c>
      <c r="M77" s="13">
        <f>Sales_Data!M77</f>
        <v/>
      </c>
      <c r="N77" s="14">
        <f>Sales_Data!N77</f>
        <v/>
      </c>
      <c r="O77" s="9">
        <f>Sales_Data!O77</f>
        <v/>
      </c>
    </row>
    <row r="78" hidden="1">
      <c r="A78" s="9">
        <f>Sales_Data!A78</f>
        <v/>
      </c>
      <c r="B78" s="10">
        <f>Sales_Data!B78</f>
        <v/>
      </c>
      <c r="C78" s="9">
        <f>Sales_Data!C78</f>
        <v/>
      </c>
      <c r="D78" s="9">
        <f>Sales_Data!D78</f>
        <v/>
      </c>
      <c r="E78" s="9">
        <f>Sales_Data!E78</f>
        <v/>
      </c>
      <c r="F78" s="9">
        <f>Sales_Data!F78</f>
        <v/>
      </c>
      <c r="G78" s="9">
        <f>Sales_Data!G78</f>
        <v/>
      </c>
      <c r="H78" s="9">
        <f>Sales_Data!H78</f>
        <v/>
      </c>
      <c r="I78" s="9">
        <f>Sales_Data!I78</f>
        <v/>
      </c>
      <c r="J78" s="9">
        <f>Sales_Data!J78</f>
        <v/>
      </c>
      <c r="K78" s="11">
        <f>Sales_Data!K78</f>
        <v/>
      </c>
      <c r="L78" s="12">
        <f>Sales_Data!L78</f>
        <v/>
      </c>
      <c r="M78" s="13">
        <f>Sales_Data!M78</f>
        <v/>
      </c>
      <c r="N78" s="14">
        <f>Sales_Data!N78</f>
        <v/>
      </c>
      <c r="O78" s="9">
        <f>Sales_Data!O78</f>
        <v/>
      </c>
    </row>
    <row r="79" hidden="1">
      <c r="A79" s="9">
        <f>Sales_Data!A79</f>
        <v/>
      </c>
      <c r="B79" s="10">
        <f>Sales_Data!B79</f>
        <v/>
      </c>
      <c r="C79" s="9">
        <f>Sales_Data!C79</f>
        <v/>
      </c>
      <c r="D79" s="9">
        <f>Sales_Data!D79</f>
        <v/>
      </c>
      <c r="E79" s="9">
        <f>Sales_Data!E79</f>
        <v/>
      </c>
      <c r="F79" s="9">
        <f>Sales_Data!F79</f>
        <v/>
      </c>
      <c r="G79" s="9">
        <f>Sales_Data!G79</f>
        <v/>
      </c>
      <c r="H79" s="9">
        <f>Sales_Data!H79</f>
        <v/>
      </c>
      <c r="I79" s="9">
        <f>Sales_Data!I79</f>
        <v/>
      </c>
      <c r="J79" s="9">
        <f>Sales_Data!J79</f>
        <v/>
      </c>
      <c r="K79" s="11">
        <f>Sales_Data!K79</f>
        <v/>
      </c>
      <c r="L79" s="12">
        <f>Sales_Data!L79</f>
        <v/>
      </c>
      <c r="M79" s="13">
        <f>Sales_Data!M79</f>
        <v/>
      </c>
      <c r="N79" s="14">
        <f>Sales_Data!N79</f>
        <v/>
      </c>
      <c r="O79" s="9">
        <f>Sales_Data!O79</f>
        <v/>
      </c>
    </row>
    <row r="80" hidden="1">
      <c r="A80" s="9">
        <f>Sales_Data!A80</f>
        <v/>
      </c>
      <c r="B80" s="10">
        <f>Sales_Data!B80</f>
        <v/>
      </c>
      <c r="C80" s="9">
        <f>Sales_Data!C80</f>
        <v/>
      </c>
      <c r="D80" s="9">
        <f>Sales_Data!D80</f>
        <v/>
      </c>
      <c r="E80" s="9">
        <f>Sales_Data!E80</f>
        <v/>
      </c>
      <c r="F80" s="9">
        <f>Sales_Data!F80</f>
        <v/>
      </c>
      <c r="G80" s="9">
        <f>Sales_Data!G80</f>
        <v/>
      </c>
      <c r="H80" s="9">
        <f>Sales_Data!H80</f>
        <v/>
      </c>
      <c r="I80" s="9">
        <f>Sales_Data!I80</f>
        <v/>
      </c>
      <c r="J80" s="9">
        <f>Sales_Data!J80</f>
        <v/>
      </c>
      <c r="K80" s="11">
        <f>Sales_Data!K80</f>
        <v/>
      </c>
      <c r="L80" s="12">
        <f>Sales_Data!L80</f>
        <v/>
      </c>
      <c r="M80" s="13">
        <f>Sales_Data!M80</f>
        <v/>
      </c>
      <c r="N80" s="14">
        <f>Sales_Data!N80</f>
        <v/>
      </c>
      <c r="O80" s="9">
        <f>Sales_Data!O80</f>
        <v/>
      </c>
    </row>
    <row r="81" hidden="1">
      <c r="A81" s="9">
        <f>Sales_Data!A81</f>
        <v/>
      </c>
      <c r="B81" s="10">
        <f>Sales_Data!B81</f>
        <v/>
      </c>
      <c r="C81" s="9">
        <f>Sales_Data!C81</f>
        <v/>
      </c>
      <c r="D81" s="9">
        <f>Sales_Data!D81</f>
        <v/>
      </c>
      <c r="E81" s="9">
        <f>Sales_Data!E81</f>
        <v/>
      </c>
      <c r="F81" s="9">
        <f>Sales_Data!F81</f>
        <v/>
      </c>
      <c r="G81" s="9">
        <f>Sales_Data!G81</f>
        <v/>
      </c>
      <c r="H81" s="9">
        <f>Sales_Data!H81</f>
        <v/>
      </c>
      <c r="I81" s="9">
        <f>Sales_Data!I81</f>
        <v/>
      </c>
      <c r="J81" s="9">
        <f>Sales_Data!J81</f>
        <v/>
      </c>
      <c r="K81" s="11">
        <f>Sales_Data!K81</f>
        <v/>
      </c>
      <c r="L81" s="12">
        <f>Sales_Data!L81</f>
        <v/>
      </c>
      <c r="M81" s="13">
        <f>Sales_Data!M81</f>
        <v/>
      </c>
      <c r="N81" s="14">
        <f>Sales_Data!N81</f>
        <v/>
      </c>
      <c r="O81" s="9">
        <f>Sales_Data!O81</f>
        <v/>
      </c>
    </row>
    <row r="82" hidden="1">
      <c r="A82" s="9">
        <f>Sales_Data!A82</f>
        <v/>
      </c>
      <c r="B82" s="10">
        <f>Sales_Data!B82</f>
        <v/>
      </c>
      <c r="C82" s="9">
        <f>Sales_Data!C82</f>
        <v/>
      </c>
      <c r="D82" s="9">
        <f>Sales_Data!D82</f>
        <v/>
      </c>
      <c r="E82" s="9">
        <f>Sales_Data!E82</f>
        <v/>
      </c>
      <c r="F82" s="9">
        <f>Sales_Data!F82</f>
        <v/>
      </c>
      <c r="G82" s="9">
        <f>Sales_Data!G82</f>
        <v/>
      </c>
      <c r="H82" s="9">
        <f>Sales_Data!H82</f>
        <v/>
      </c>
      <c r="I82" s="9">
        <f>Sales_Data!I82</f>
        <v/>
      </c>
      <c r="J82" s="9">
        <f>Sales_Data!J82</f>
        <v/>
      </c>
      <c r="K82" s="11">
        <f>Sales_Data!K82</f>
        <v/>
      </c>
      <c r="L82" s="12">
        <f>Sales_Data!L82</f>
        <v/>
      </c>
      <c r="M82" s="13">
        <f>Sales_Data!M82</f>
        <v/>
      </c>
      <c r="N82" s="14">
        <f>Sales_Data!N82</f>
        <v/>
      </c>
      <c r="O82" s="9">
        <f>Sales_Data!O82</f>
        <v/>
      </c>
    </row>
    <row r="83" hidden="1">
      <c r="A83" s="9">
        <f>Sales_Data!A83</f>
        <v/>
      </c>
      <c r="B83" s="10">
        <f>Sales_Data!B83</f>
        <v/>
      </c>
      <c r="C83" s="9">
        <f>Sales_Data!C83</f>
        <v/>
      </c>
      <c r="D83" s="9">
        <f>Sales_Data!D83</f>
        <v/>
      </c>
      <c r="E83" s="9">
        <f>Sales_Data!E83</f>
        <v/>
      </c>
      <c r="F83" s="9">
        <f>Sales_Data!F83</f>
        <v/>
      </c>
      <c r="G83" s="9">
        <f>Sales_Data!G83</f>
        <v/>
      </c>
      <c r="H83" s="9">
        <f>Sales_Data!H83</f>
        <v/>
      </c>
      <c r="I83" s="9">
        <f>Sales_Data!I83</f>
        <v/>
      </c>
      <c r="J83" s="9">
        <f>Sales_Data!J83</f>
        <v/>
      </c>
      <c r="K83" s="11">
        <f>Sales_Data!K83</f>
        <v/>
      </c>
      <c r="L83" s="12">
        <f>Sales_Data!L83</f>
        <v/>
      </c>
      <c r="M83" s="13">
        <f>Sales_Data!M83</f>
        <v/>
      </c>
      <c r="N83" s="14">
        <f>Sales_Data!N83</f>
        <v/>
      </c>
      <c r="O83" s="9">
        <f>Sales_Data!O83</f>
        <v/>
      </c>
    </row>
    <row r="84" hidden="1">
      <c r="A84" s="9">
        <f>Sales_Data!A84</f>
        <v/>
      </c>
      <c r="B84" s="10">
        <f>Sales_Data!B84</f>
        <v/>
      </c>
      <c r="C84" s="9">
        <f>Sales_Data!C84</f>
        <v/>
      </c>
      <c r="D84" s="9">
        <f>Sales_Data!D84</f>
        <v/>
      </c>
      <c r="E84" s="9">
        <f>Sales_Data!E84</f>
        <v/>
      </c>
      <c r="F84" s="9">
        <f>Sales_Data!F84</f>
        <v/>
      </c>
      <c r="G84" s="9">
        <f>Sales_Data!G84</f>
        <v/>
      </c>
      <c r="H84" s="9">
        <f>Sales_Data!H84</f>
        <v/>
      </c>
      <c r="I84" s="9">
        <f>Sales_Data!I84</f>
        <v/>
      </c>
      <c r="J84" s="9">
        <f>Sales_Data!J84</f>
        <v/>
      </c>
      <c r="K84" s="11">
        <f>Sales_Data!K84</f>
        <v/>
      </c>
      <c r="L84" s="12">
        <f>Sales_Data!L84</f>
        <v/>
      </c>
      <c r="M84" s="13">
        <f>Sales_Data!M84</f>
        <v/>
      </c>
      <c r="N84" s="14">
        <f>Sales_Data!N84</f>
        <v/>
      </c>
      <c r="O84" s="9">
        <f>Sales_Data!O84</f>
        <v/>
      </c>
    </row>
    <row r="85" hidden="1">
      <c r="A85" s="9">
        <f>Sales_Data!A85</f>
        <v/>
      </c>
      <c r="B85" s="10">
        <f>Sales_Data!B85</f>
        <v/>
      </c>
      <c r="C85" s="9">
        <f>Sales_Data!C85</f>
        <v/>
      </c>
      <c r="D85" s="9">
        <f>Sales_Data!D85</f>
        <v/>
      </c>
      <c r="E85" s="9">
        <f>Sales_Data!E85</f>
        <v/>
      </c>
      <c r="F85" s="9">
        <f>Sales_Data!F85</f>
        <v/>
      </c>
      <c r="G85" s="9">
        <f>Sales_Data!G85</f>
        <v/>
      </c>
      <c r="H85" s="9">
        <f>Sales_Data!H85</f>
        <v/>
      </c>
      <c r="I85" s="9">
        <f>Sales_Data!I85</f>
        <v/>
      </c>
      <c r="J85" s="9">
        <f>Sales_Data!J85</f>
        <v/>
      </c>
      <c r="K85" s="11">
        <f>Sales_Data!K85</f>
        <v/>
      </c>
      <c r="L85" s="12">
        <f>Sales_Data!L85</f>
        <v/>
      </c>
      <c r="M85" s="13">
        <f>Sales_Data!M85</f>
        <v/>
      </c>
      <c r="N85" s="14">
        <f>Sales_Data!N85</f>
        <v/>
      </c>
      <c r="O85" s="9">
        <f>Sales_Data!O85</f>
        <v/>
      </c>
    </row>
    <row r="86" hidden="1">
      <c r="A86" s="9">
        <f>Sales_Data!A86</f>
        <v/>
      </c>
      <c r="B86" s="10">
        <f>Sales_Data!B86</f>
        <v/>
      </c>
      <c r="C86" s="9">
        <f>Sales_Data!C86</f>
        <v/>
      </c>
      <c r="D86" s="9">
        <f>Sales_Data!D86</f>
        <v/>
      </c>
      <c r="E86" s="9">
        <f>Sales_Data!E86</f>
        <v/>
      </c>
      <c r="F86" s="9">
        <f>Sales_Data!F86</f>
        <v/>
      </c>
      <c r="G86" s="9">
        <f>Sales_Data!G86</f>
        <v/>
      </c>
      <c r="H86" s="9">
        <f>Sales_Data!H86</f>
        <v/>
      </c>
      <c r="I86" s="9">
        <f>Sales_Data!I86</f>
        <v/>
      </c>
      <c r="J86" s="9">
        <f>Sales_Data!J86</f>
        <v/>
      </c>
      <c r="K86" s="11">
        <f>Sales_Data!K86</f>
        <v/>
      </c>
      <c r="L86" s="12">
        <f>Sales_Data!L86</f>
        <v/>
      </c>
      <c r="M86" s="13">
        <f>Sales_Data!M86</f>
        <v/>
      </c>
      <c r="N86" s="14">
        <f>Sales_Data!N86</f>
        <v/>
      </c>
      <c r="O86" s="9">
        <f>Sales_Data!O86</f>
        <v/>
      </c>
    </row>
    <row r="87" hidden="1">
      <c r="A87" s="9">
        <f>Sales_Data!A87</f>
        <v/>
      </c>
      <c r="B87" s="10">
        <f>Sales_Data!B87</f>
        <v/>
      </c>
      <c r="C87" s="9">
        <f>Sales_Data!C87</f>
        <v/>
      </c>
      <c r="D87" s="9">
        <f>Sales_Data!D87</f>
        <v/>
      </c>
      <c r="E87" s="9">
        <f>Sales_Data!E87</f>
        <v/>
      </c>
      <c r="F87" s="9">
        <f>Sales_Data!F87</f>
        <v/>
      </c>
      <c r="G87" s="9">
        <f>Sales_Data!G87</f>
        <v/>
      </c>
      <c r="H87" s="9">
        <f>Sales_Data!H87</f>
        <v/>
      </c>
      <c r="I87" s="9">
        <f>Sales_Data!I87</f>
        <v/>
      </c>
      <c r="J87" s="9">
        <f>Sales_Data!J87</f>
        <v/>
      </c>
      <c r="K87" s="11">
        <f>Sales_Data!K87</f>
        <v/>
      </c>
      <c r="L87" s="12">
        <f>Sales_Data!L87</f>
        <v/>
      </c>
      <c r="M87" s="13">
        <f>Sales_Data!M87</f>
        <v/>
      </c>
      <c r="N87" s="14">
        <f>Sales_Data!N87</f>
        <v/>
      </c>
      <c r="O87" s="9">
        <f>Sales_Data!O87</f>
        <v/>
      </c>
    </row>
    <row r="88" hidden="1">
      <c r="A88" s="9">
        <f>Sales_Data!A88</f>
        <v/>
      </c>
      <c r="B88" s="10">
        <f>Sales_Data!B88</f>
        <v/>
      </c>
      <c r="C88" s="9">
        <f>Sales_Data!C88</f>
        <v/>
      </c>
      <c r="D88" s="9">
        <f>Sales_Data!D88</f>
        <v/>
      </c>
      <c r="E88" s="9">
        <f>Sales_Data!E88</f>
        <v/>
      </c>
      <c r="F88" s="9">
        <f>Sales_Data!F88</f>
        <v/>
      </c>
      <c r="G88" s="9">
        <f>Sales_Data!G88</f>
        <v/>
      </c>
      <c r="H88" s="9">
        <f>Sales_Data!H88</f>
        <v/>
      </c>
      <c r="I88" s="9">
        <f>Sales_Data!I88</f>
        <v/>
      </c>
      <c r="J88" s="9">
        <f>Sales_Data!J88</f>
        <v/>
      </c>
      <c r="K88" s="11">
        <f>Sales_Data!K88</f>
        <v/>
      </c>
      <c r="L88" s="12">
        <f>Sales_Data!L88</f>
        <v/>
      </c>
      <c r="M88" s="13">
        <f>Sales_Data!M88</f>
        <v/>
      </c>
      <c r="N88" s="14">
        <f>Sales_Data!N88</f>
        <v/>
      </c>
      <c r="O88" s="9">
        <f>Sales_Data!O88</f>
        <v/>
      </c>
    </row>
    <row r="89" hidden="1">
      <c r="A89" s="9">
        <f>Sales_Data!A89</f>
        <v/>
      </c>
      <c r="B89" s="10">
        <f>Sales_Data!B89</f>
        <v/>
      </c>
      <c r="C89" s="9">
        <f>Sales_Data!C89</f>
        <v/>
      </c>
      <c r="D89" s="9">
        <f>Sales_Data!D89</f>
        <v/>
      </c>
      <c r="E89" s="9">
        <f>Sales_Data!E89</f>
        <v/>
      </c>
      <c r="F89" s="9">
        <f>Sales_Data!F89</f>
        <v/>
      </c>
      <c r="G89" s="9">
        <f>Sales_Data!G89</f>
        <v/>
      </c>
      <c r="H89" s="9">
        <f>Sales_Data!H89</f>
        <v/>
      </c>
      <c r="I89" s="9">
        <f>Sales_Data!I89</f>
        <v/>
      </c>
      <c r="J89" s="9">
        <f>Sales_Data!J89</f>
        <v/>
      </c>
      <c r="K89" s="11">
        <f>Sales_Data!K89</f>
        <v/>
      </c>
      <c r="L89" s="12">
        <f>Sales_Data!L89</f>
        <v/>
      </c>
      <c r="M89" s="13">
        <f>Sales_Data!M89</f>
        <v/>
      </c>
      <c r="N89" s="14">
        <f>Sales_Data!N89</f>
        <v/>
      </c>
      <c r="O89" s="9">
        <f>Sales_Data!O89</f>
        <v/>
      </c>
    </row>
    <row r="90" hidden="1">
      <c r="A90" s="9">
        <f>Sales_Data!A90</f>
        <v/>
      </c>
      <c r="B90" s="10">
        <f>Sales_Data!B90</f>
        <v/>
      </c>
      <c r="C90" s="9">
        <f>Sales_Data!C90</f>
        <v/>
      </c>
      <c r="D90" s="9">
        <f>Sales_Data!D90</f>
        <v/>
      </c>
      <c r="E90" s="9">
        <f>Sales_Data!E90</f>
        <v/>
      </c>
      <c r="F90" s="9">
        <f>Sales_Data!F90</f>
        <v/>
      </c>
      <c r="G90" s="9">
        <f>Sales_Data!G90</f>
        <v/>
      </c>
      <c r="H90" s="9">
        <f>Sales_Data!H90</f>
        <v/>
      </c>
      <c r="I90" s="9">
        <f>Sales_Data!I90</f>
        <v/>
      </c>
      <c r="J90" s="9">
        <f>Sales_Data!J90</f>
        <v/>
      </c>
      <c r="K90" s="11">
        <f>Sales_Data!K90</f>
        <v/>
      </c>
      <c r="L90" s="12">
        <f>Sales_Data!L90</f>
        <v/>
      </c>
      <c r="M90" s="13">
        <f>Sales_Data!M90</f>
        <v/>
      </c>
      <c r="N90" s="14">
        <f>Sales_Data!N90</f>
        <v/>
      </c>
      <c r="O90" s="9">
        <f>Sales_Data!O90</f>
        <v/>
      </c>
    </row>
    <row r="91">
      <c r="A91" s="9">
        <f>Sales_Data!A91</f>
        <v/>
      </c>
      <c r="B91" s="10">
        <f>Sales_Data!B91</f>
        <v/>
      </c>
      <c r="C91" s="9">
        <f>Sales_Data!C91</f>
        <v/>
      </c>
      <c r="D91" s="9">
        <f>Sales_Data!D91</f>
        <v/>
      </c>
      <c r="E91" s="9">
        <f>Sales_Data!E91</f>
        <v/>
      </c>
      <c r="F91" s="9">
        <f>Sales_Data!F91</f>
        <v/>
      </c>
      <c r="G91" s="9">
        <f>Sales_Data!G91</f>
        <v/>
      </c>
      <c r="H91" s="9">
        <f>Sales_Data!H91</f>
        <v/>
      </c>
      <c r="I91" s="9">
        <f>Sales_Data!I91</f>
        <v/>
      </c>
      <c r="J91" s="9">
        <f>Sales_Data!J91</f>
        <v/>
      </c>
      <c r="K91" s="11">
        <f>Sales_Data!K91</f>
        <v/>
      </c>
      <c r="L91" s="12">
        <f>Sales_Data!L91</f>
        <v/>
      </c>
      <c r="M91" s="13">
        <f>Sales_Data!M91</f>
        <v/>
      </c>
      <c r="N91" s="14">
        <f>Sales_Data!N91</f>
        <v/>
      </c>
      <c r="O91" s="9">
        <f>Sales_Data!O91</f>
        <v/>
      </c>
    </row>
    <row r="92" hidden="1">
      <c r="A92" s="9">
        <f>Sales_Data!A92</f>
        <v/>
      </c>
      <c r="B92" s="10">
        <f>Sales_Data!B92</f>
        <v/>
      </c>
      <c r="C92" s="9">
        <f>Sales_Data!C92</f>
        <v/>
      </c>
      <c r="D92" s="9">
        <f>Sales_Data!D92</f>
        <v/>
      </c>
      <c r="E92" s="9">
        <f>Sales_Data!E92</f>
        <v/>
      </c>
      <c r="F92" s="9">
        <f>Sales_Data!F92</f>
        <v/>
      </c>
      <c r="G92" s="9">
        <f>Sales_Data!G92</f>
        <v/>
      </c>
      <c r="H92" s="9">
        <f>Sales_Data!H92</f>
        <v/>
      </c>
      <c r="I92" s="9">
        <f>Sales_Data!I92</f>
        <v/>
      </c>
      <c r="J92" s="9">
        <f>Sales_Data!J92</f>
        <v/>
      </c>
      <c r="K92" s="11">
        <f>Sales_Data!K92</f>
        <v/>
      </c>
      <c r="L92" s="12">
        <f>Sales_Data!L92</f>
        <v/>
      </c>
      <c r="M92" s="13">
        <f>Sales_Data!M92</f>
        <v/>
      </c>
      <c r="N92" s="14">
        <f>Sales_Data!N92</f>
        <v/>
      </c>
      <c r="O92" s="9">
        <f>Sales_Data!O92</f>
        <v/>
      </c>
    </row>
    <row r="93" hidden="1">
      <c r="A93" s="9">
        <f>Sales_Data!A93</f>
        <v/>
      </c>
      <c r="B93" s="10">
        <f>Sales_Data!B93</f>
        <v/>
      </c>
      <c r="C93" s="9">
        <f>Sales_Data!C93</f>
        <v/>
      </c>
      <c r="D93" s="9">
        <f>Sales_Data!D93</f>
        <v/>
      </c>
      <c r="E93" s="9">
        <f>Sales_Data!E93</f>
        <v/>
      </c>
      <c r="F93" s="9">
        <f>Sales_Data!F93</f>
        <v/>
      </c>
      <c r="G93" s="9">
        <f>Sales_Data!G93</f>
        <v/>
      </c>
      <c r="H93" s="9">
        <f>Sales_Data!H93</f>
        <v/>
      </c>
      <c r="I93" s="9">
        <f>Sales_Data!I93</f>
        <v/>
      </c>
      <c r="J93" s="9">
        <f>Sales_Data!J93</f>
        <v/>
      </c>
      <c r="K93" s="11">
        <f>Sales_Data!K93</f>
        <v/>
      </c>
      <c r="L93" s="12">
        <f>Sales_Data!L93</f>
        <v/>
      </c>
      <c r="M93" s="13">
        <f>Sales_Data!M93</f>
        <v/>
      </c>
      <c r="N93" s="14">
        <f>Sales_Data!N93</f>
        <v/>
      </c>
      <c r="O93" s="9">
        <f>Sales_Data!O93</f>
        <v/>
      </c>
    </row>
    <row r="94" hidden="1">
      <c r="A94" s="9">
        <f>Sales_Data!A94</f>
        <v/>
      </c>
      <c r="B94" s="10">
        <f>Sales_Data!B94</f>
        <v/>
      </c>
      <c r="C94" s="9">
        <f>Sales_Data!C94</f>
        <v/>
      </c>
      <c r="D94" s="9">
        <f>Sales_Data!D94</f>
        <v/>
      </c>
      <c r="E94" s="9">
        <f>Sales_Data!E94</f>
        <v/>
      </c>
      <c r="F94" s="9">
        <f>Sales_Data!F94</f>
        <v/>
      </c>
      <c r="G94" s="9">
        <f>Sales_Data!G94</f>
        <v/>
      </c>
      <c r="H94" s="9">
        <f>Sales_Data!H94</f>
        <v/>
      </c>
      <c r="I94" s="9">
        <f>Sales_Data!I94</f>
        <v/>
      </c>
      <c r="J94" s="9">
        <f>Sales_Data!J94</f>
        <v/>
      </c>
      <c r="K94" s="11">
        <f>Sales_Data!K94</f>
        <v/>
      </c>
      <c r="L94" s="12">
        <f>Sales_Data!L94</f>
        <v/>
      </c>
      <c r="M94" s="13">
        <f>Sales_Data!M94</f>
        <v/>
      </c>
      <c r="N94" s="14">
        <f>Sales_Data!N94</f>
        <v/>
      </c>
      <c r="O94" s="9">
        <f>Sales_Data!O94</f>
        <v/>
      </c>
    </row>
    <row r="95" hidden="1">
      <c r="A95" s="9">
        <f>Sales_Data!A95</f>
        <v/>
      </c>
      <c r="B95" s="10">
        <f>Sales_Data!B95</f>
        <v/>
      </c>
      <c r="C95" s="9">
        <f>Sales_Data!C95</f>
        <v/>
      </c>
      <c r="D95" s="9">
        <f>Sales_Data!D95</f>
        <v/>
      </c>
      <c r="E95" s="9">
        <f>Sales_Data!E95</f>
        <v/>
      </c>
      <c r="F95" s="9">
        <f>Sales_Data!F95</f>
        <v/>
      </c>
      <c r="G95" s="9">
        <f>Sales_Data!G95</f>
        <v/>
      </c>
      <c r="H95" s="9">
        <f>Sales_Data!H95</f>
        <v/>
      </c>
      <c r="I95" s="9">
        <f>Sales_Data!I95</f>
        <v/>
      </c>
      <c r="J95" s="9">
        <f>Sales_Data!J95</f>
        <v/>
      </c>
      <c r="K95" s="11">
        <f>Sales_Data!K95</f>
        <v/>
      </c>
      <c r="L95" s="12">
        <f>Sales_Data!L95</f>
        <v/>
      </c>
      <c r="M95" s="13">
        <f>Sales_Data!M95</f>
        <v/>
      </c>
      <c r="N95" s="14">
        <f>Sales_Data!N95</f>
        <v/>
      </c>
      <c r="O95" s="9">
        <f>Sales_Data!O95</f>
        <v/>
      </c>
    </row>
    <row r="96" hidden="1">
      <c r="A96" s="9">
        <f>Sales_Data!A96</f>
        <v/>
      </c>
      <c r="B96" s="10">
        <f>Sales_Data!B96</f>
        <v/>
      </c>
      <c r="C96" s="9">
        <f>Sales_Data!C96</f>
        <v/>
      </c>
      <c r="D96" s="9">
        <f>Sales_Data!D96</f>
        <v/>
      </c>
      <c r="E96" s="9">
        <f>Sales_Data!E96</f>
        <v/>
      </c>
      <c r="F96" s="9">
        <f>Sales_Data!F96</f>
        <v/>
      </c>
      <c r="G96" s="9">
        <f>Sales_Data!G96</f>
        <v/>
      </c>
      <c r="H96" s="9">
        <f>Sales_Data!H96</f>
        <v/>
      </c>
      <c r="I96" s="9">
        <f>Sales_Data!I96</f>
        <v/>
      </c>
      <c r="J96" s="9">
        <f>Sales_Data!J96</f>
        <v/>
      </c>
      <c r="K96" s="11">
        <f>Sales_Data!K96</f>
        <v/>
      </c>
      <c r="L96" s="12">
        <f>Sales_Data!L96</f>
        <v/>
      </c>
      <c r="M96" s="13">
        <f>Sales_Data!M96</f>
        <v/>
      </c>
      <c r="N96" s="14">
        <f>Sales_Data!N96</f>
        <v/>
      </c>
      <c r="O96" s="9">
        <f>Sales_Data!O96</f>
        <v/>
      </c>
    </row>
    <row r="97" hidden="1">
      <c r="A97" s="9">
        <f>Sales_Data!A97</f>
        <v/>
      </c>
      <c r="B97" s="10">
        <f>Sales_Data!B97</f>
        <v/>
      </c>
      <c r="C97" s="9">
        <f>Sales_Data!C97</f>
        <v/>
      </c>
      <c r="D97" s="9">
        <f>Sales_Data!D97</f>
        <v/>
      </c>
      <c r="E97" s="9">
        <f>Sales_Data!E97</f>
        <v/>
      </c>
      <c r="F97" s="9">
        <f>Sales_Data!F97</f>
        <v/>
      </c>
      <c r="G97" s="9">
        <f>Sales_Data!G97</f>
        <v/>
      </c>
      <c r="H97" s="9">
        <f>Sales_Data!H97</f>
        <v/>
      </c>
      <c r="I97" s="9">
        <f>Sales_Data!I97</f>
        <v/>
      </c>
      <c r="J97" s="9">
        <f>Sales_Data!J97</f>
        <v/>
      </c>
      <c r="K97" s="11">
        <f>Sales_Data!K97</f>
        <v/>
      </c>
      <c r="L97" s="12">
        <f>Sales_Data!L97</f>
        <v/>
      </c>
      <c r="M97" s="13">
        <f>Sales_Data!M97</f>
        <v/>
      </c>
      <c r="N97" s="14">
        <f>Sales_Data!N97</f>
        <v/>
      </c>
      <c r="O97" s="9">
        <f>Sales_Data!O97</f>
        <v/>
      </c>
    </row>
    <row r="98" hidden="1">
      <c r="A98" s="9">
        <f>Sales_Data!A98</f>
        <v/>
      </c>
      <c r="B98" s="10">
        <f>Sales_Data!B98</f>
        <v/>
      </c>
      <c r="C98" s="9">
        <f>Sales_Data!C98</f>
        <v/>
      </c>
      <c r="D98" s="9">
        <f>Sales_Data!D98</f>
        <v/>
      </c>
      <c r="E98" s="9">
        <f>Sales_Data!E98</f>
        <v/>
      </c>
      <c r="F98" s="9">
        <f>Sales_Data!F98</f>
        <v/>
      </c>
      <c r="G98" s="9">
        <f>Sales_Data!G98</f>
        <v/>
      </c>
      <c r="H98" s="9">
        <f>Sales_Data!H98</f>
        <v/>
      </c>
      <c r="I98" s="9">
        <f>Sales_Data!I98</f>
        <v/>
      </c>
      <c r="J98" s="9">
        <f>Sales_Data!J98</f>
        <v/>
      </c>
      <c r="K98" s="11">
        <f>Sales_Data!K98</f>
        <v/>
      </c>
      <c r="L98" s="12">
        <f>Sales_Data!L98</f>
        <v/>
      </c>
      <c r="M98" s="13">
        <f>Sales_Data!M98</f>
        <v/>
      </c>
      <c r="N98" s="14">
        <f>Sales_Data!N98</f>
        <v/>
      </c>
      <c r="O98" s="9">
        <f>Sales_Data!O98</f>
        <v/>
      </c>
    </row>
    <row r="99" hidden="1">
      <c r="A99" s="9">
        <f>Sales_Data!A99</f>
        <v/>
      </c>
      <c r="B99" s="10">
        <f>Sales_Data!B99</f>
        <v/>
      </c>
      <c r="C99" s="9">
        <f>Sales_Data!C99</f>
        <v/>
      </c>
      <c r="D99" s="9">
        <f>Sales_Data!D99</f>
        <v/>
      </c>
      <c r="E99" s="9">
        <f>Sales_Data!E99</f>
        <v/>
      </c>
      <c r="F99" s="9">
        <f>Sales_Data!F99</f>
        <v/>
      </c>
      <c r="G99" s="9">
        <f>Sales_Data!G99</f>
        <v/>
      </c>
      <c r="H99" s="9">
        <f>Sales_Data!H99</f>
        <v/>
      </c>
      <c r="I99" s="9">
        <f>Sales_Data!I99</f>
        <v/>
      </c>
      <c r="J99" s="9">
        <f>Sales_Data!J99</f>
        <v/>
      </c>
      <c r="K99" s="11">
        <f>Sales_Data!K99</f>
        <v/>
      </c>
      <c r="L99" s="12">
        <f>Sales_Data!L99</f>
        <v/>
      </c>
      <c r="M99" s="13">
        <f>Sales_Data!M99</f>
        <v/>
      </c>
      <c r="N99" s="14">
        <f>Sales_Data!N99</f>
        <v/>
      </c>
      <c r="O99" s="9">
        <f>Sales_Data!O99</f>
        <v/>
      </c>
    </row>
    <row r="100" hidden="1">
      <c r="A100" s="9">
        <f>Sales_Data!A100</f>
        <v/>
      </c>
      <c r="B100" s="10">
        <f>Sales_Data!B100</f>
        <v/>
      </c>
      <c r="C100" s="9">
        <f>Sales_Data!C100</f>
        <v/>
      </c>
      <c r="D100" s="9">
        <f>Sales_Data!D100</f>
        <v/>
      </c>
      <c r="E100" s="9">
        <f>Sales_Data!E100</f>
        <v/>
      </c>
      <c r="F100" s="9">
        <f>Sales_Data!F100</f>
        <v/>
      </c>
      <c r="G100" s="9">
        <f>Sales_Data!G100</f>
        <v/>
      </c>
      <c r="H100" s="9">
        <f>Sales_Data!H100</f>
        <v/>
      </c>
      <c r="I100" s="9">
        <f>Sales_Data!I100</f>
        <v/>
      </c>
      <c r="J100" s="9">
        <f>Sales_Data!J100</f>
        <v/>
      </c>
      <c r="K100" s="11">
        <f>Sales_Data!K100</f>
        <v/>
      </c>
      <c r="L100" s="12">
        <f>Sales_Data!L100</f>
        <v/>
      </c>
      <c r="M100" s="13">
        <f>Sales_Data!M100</f>
        <v/>
      </c>
      <c r="N100" s="14">
        <f>Sales_Data!N100</f>
        <v/>
      </c>
      <c r="O100" s="9">
        <f>Sales_Data!O100</f>
        <v/>
      </c>
    </row>
    <row r="101" hidden="1">
      <c r="A101" s="9">
        <f>Sales_Data!A101</f>
        <v/>
      </c>
      <c r="B101" s="10">
        <f>Sales_Data!B101</f>
        <v/>
      </c>
      <c r="C101" s="9">
        <f>Sales_Data!C101</f>
        <v/>
      </c>
      <c r="D101" s="9">
        <f>Sales_Data!D101</f>
        <v/>
      </c>
      <c r="E101" s="9">
        <f>Sales_Data!E101</f>
        <v/>
      </c>
      <c r="F101" s="9">
        <f>Sales_Data!F101</f>
        <v/>
      </c>
      <c r="G101" s="9">
        <f>Sales_Data!G101</f>
        <v/>
      </c>
      <c r="H101" s="9">
        <f>Sales_Data!H101</f>
        <v/>
      </c>
      <c r="I101" s="9">
        <f>Sales_Data!I101</f>
        <v/>
      </c>
      <c r="J101" s="9">
        <f>Sales_Data!J101</f>
        <v/>
      </c>
      <c r="K101" s="11">
        <f>Sales_Data!K101</f>
        <v/>
      </c>
      <c r="L101" s="12">
        <f>Sales_Data!L101</f>
        <v/>
      </c>
      <c r="M101" s="13">
        <f>Sales_Data!M101</f>
        <v/>
      </c>
      <c r="N101" s="14">
        <f>Sales_Data!N101</f>
        <v/>
      </c>
      <c r="O101" s="9">
        <f>Sales_Data!O101</f>
        <v/>
      </c>
    </row>
    <row r="102" hidden="1">
      <c r="A102" s="9">
        <f>Sales_Data!A102</f>
        <v/>
      </c>
      <c r="B102" s="10">
        <f>Sales_Data!B102</f>
        <v/>
      </c>
      <c r="C102" s="9">
        <f>Sales_Data!C102</f>
        <v/>
      </c>
      <c r="D102" s="9">
        <f>Sales_Data!D102</f>
        <v/>
      </c>
      <c r="E102" s="9">
        <f>Sales_Data!E102</f>
        <v/>
      </c>
      <c r="F102" s="9">
        <f>Sales_Data!F102</f>
        <v/>
      </c>
      <c r="G102" s="9">
        <f>Sales_Data!G102</f>
        <v/>
      </c>
      <c r="H102" s="9">
        <f>Sales_Data!H102</f>
        <v/>
      </c>
      <c r="I102" s="9">
        <f>Sales_Data!I102</f>
        <v/>
      </c>
      <c r="J102" s="9">
        <f>Sales_Data!J102</f>
        <v/>
      </c>
      <c r="K102" s="11">
        <f>Sales_Data!K102</f>
        <v/>
      </c>
      <c r="L102" s="12">
        <f>Sales_Data!L102</f>
        <v/>
      </c>
      <c r="M102" s="13">
        <f>Sales_Data!M102</f>
        <v/>
      </c>
      <c r="N102" s="14">
        <f>Sales_Data!N102</f>
        <v/>
      </c>
      <c r="O102" s="9">
        <f>Sales_Data!O102</f>
        <v/>
      </c>
    </row>
    <row r="103">
      <c r="A103" s="9">
        <f>Sales_Data!A103</f>
        <v/>
      </c>
      <c r="B103" s="10">
        <f>Sales_Data!B103</f>
        <v/>
      </c>
      <c r="C103" s="9">
        <f>Sales_Data!C103</f>
        <v/>
      </c>
      <c r="D103" s="9">
        <f>Sales_Data!D103</f>
        <v/>
      </c>
      <c r="E103" s="9">
        <f>Sales_Data!E103</f>
        <v/>
      </c>
      <c r="F103" s="9">
        <f>Sales_Data!F103</f>
        <v/>
      </c>
      <c r="G103" s="9">
        <f>Sales_Data!G103</f>
        <v/>
      </c>
      <c r="H103" s="9">
        <f>Sales_Data!H103</f>
        <v/>
      </c>
      <c r="I103" s="9">
        <f>Sales_Data!I103</f>
        <v/>
      </c>
      <c r="J103" s="9">
        <f>Sales_Data!J103</f>
        <v/>
      </c>
      <c r="K103" s="11">
        <f>Sales_Data!K103</f>
        <v/>
      </c>
      <c r="L103" s="12">
        <f>Sales_Data!L103</f>
        <v/>
      </c>
      <c r="M103" s="13">
        <f>Sales_Data!M103</f>
        <v/>
      </c>
      <c r="N103" s="14">
        <f>Sales_Data!N103</f>
        <v/>
      </c>
      <c r="O103" s="9">
        <f>Sales_Data!O103</f>
        <v/>
      </c>
    </row>
    <row r="104" hidden="1">
      <c r="A104" s="9">
        <f>Sales_Data!A104</f>
        <v/>
      </c>
      <c r="B104" s="10">
        <f>Sales_Data!B104</f>
        <v/>
      </c>
      <c r="C104" s="9">
        <f>Sales_Data!C104</f>
        <v/>
      </c>
      <c r="D104" s="9">
        <f>Sales_Data!D104</f>
        <v/>
      </c>
      <c r="E104" s="9">
        <f>Sales_Data!E104</f>
        <v/>
      </c>
      <c r="F104" s="9">
        <f>Sales_Data!F104</f>
        <v/>
      </c>
      <c r="G104" s="9">
        <f>Sales_Data!G104</f>
        <v/>
      </c>
      <c r="H104" s="9">
        <f>Sales_Data!H104</f>
        <v/>
      </c>
      <c r="I104" s="9">
        <f>Sales_Data!I104</f>
        <v/>
      </c>
      <c r="J104" s="9">
        <f>Sales_Data!J104</f>
        <v/>
      </c>
      <c r="K104" s="11">
        <f>Sales_Data!K104</f>
        <v/>
      </c>
      <c r="L104" s="12">
        <f>Sales_Data!L104</f>
        <v/>
      </c>
      <c r="M104" s="13">
        <f>Sales_Data!M104</f>
        <v/>
      </c>
      <c r="N104" s="14">
        <f>Sales_Data!N104</f>
        <v/>
      </c>
      <c r="O104" s="9">
        <f>Sales_Data!O104</f>
        <v/>
      </c>
    </row>
    <row r="105" hidden="1">
      <c r="A105" s="9">
        <f>Sales_Data!A105</f>
        <v/>
      </c>
      <c r="B105" s="10">
        <f>Sales_Data!B105</f>
        <v/>
      </c>
      <c r="C105" s="9">
        <f>Sales_Data!C105</f>
        <v/>
      </c>
      <c r="D105" s="9">
        <f>Sales_Data!D105</f>
        <v/>
      </c>
      <c r="E105" s="9">
        <f>Sales_Data!E105</f>
        <v/>
      </c>
      <c r="F105" s="9">
        <f>Sales_Data!F105</f>
        <v/>
      </c>
      <c r="G105" s="9">
        <f>Sales_Data!G105</f>
        <v/>
      </c>
      <c r="H105" s="9">
        <f>Sales_Data!H105</f>
        <v/>
      </c>
      <c r="I105" s="9">
        <f>Sales_Data!I105</f>
        <v/>
      </c>
      <c r="J105" s="9">
        <f>Sales_Data!J105</f>
        <v/>
      </c>
      <c r="K105" s="11">
        <f>Sales_Data!K105</f>
        <v/>
      </c>
      <c r="L105" s="12">
        <f>Sales_Data!L105</f>
        <v/>
      </c>
      <c r="M105" s="13">
        <f>Sales_Data!M105</f>
        <v/>
      </c>
      <c r="N105" s="14">
        <f>Sales_Data!N105</f>
        <v/>
      </c>
      <c r="O105" s="9">
        <f>Sales_Data!O105</f>
        <v/>
      </c>
    </row>
    <row r="106" hidden="1">
      <c r="A106" s="9">
        <f>Sales_Data!A106</f>
        <v/>
      </c>
      <c r="B106" s="10">
        <f>Sales_Data!B106</f>
        <v/>
      </c>
      <c r="C106" s="9">
        <f>Sales_Data!C106</f>
        <v/>
      </c>
      <c r="D106" s="9">
        <f>Sales_Data!D106</f>
        <v/>
      </c>
      <c r="E106" s="9">
        <f>Sales_Data!E106</f>
        <v/>
      </c>
      <c r="F106" s="9">
        <f>Sales_Data!F106</f>
        <v/>
      </c>
      <c r="G106" s="9">
        <f>Sales_Data!G106</f>
        <v/>
      </c>
      <c r="H106" s="9">
        <f>Sales_Data!H106</f>
        <v/>
      </c>
      <c r="I106" s="9">
        <f>Sales_Data!I106</f>
        <v/>
      </c>
      <c r="J106" s="9">
        <f>Sales_Data!J106</f>
        <v/>
      </c>
      <c r="K106" s="11">
        <f>Sales_Data!K106</f>
        <v/>
      </c>
      <c r="L106" s="12">
        <f>Sales_Data!L106</f>
        <v/>
      </c>
      <c r="M106" s="13">
        <f>Sales_Data!M106</f>
        <v/>
      </c>
      <c r="N106" s="14">
        <f>Sales_Data!N106</f>
        <v/>
      </c>
      <c r="O106" s="9">
        <f>Sales_Data!O106</f>
        <v/>
      </c>
    </row>
    <row r="107" hidden="1">
      <c r="A107" s="9">
        <f>Sales_Data!A107</f>
        <v/>
      </c>
      <c r="B107" s="10">
        <f>Sales_Data!B107</f>
        <v/>
      </c>
      <c r="C107" s="9">
        <f>Sales_Data!C107</f>
        <v/>
      </c>
      <c r="D107" s="9">
        <f>Sales_Data!D107</f>
        <v/>
      </c>
      <c r="E107" s="9">
        <f>Sales_Data!E107</f>
        <v/>
      </c>
      <c r="F107" s="9">
        <f>Sales_Data!F107</f>
        <v/>
      </c>
      <c r="G107" s="9">
        <f>Sales_Data!G107</f>
        <v/>
      </c>
      <c r="H107" s="9">
        <f>Sales_Data!H107</f>
        <v/>
      </c>
      <c r="I107" s="9">
        <f>Sales_Data!I107</f>
        <v/>
      </c>
      <c r="J107" s="9">
        <f>Sales_Data!J107</f>
        <v/>
      </c>
      <c r="K107" s="11">
        <f>Sales_Data!K107</f>
        <v/>
      </c>
      <c r="L107" s="12">
        <f>Sales_Data!L107</f>
        <v/>
      </c>
      <c r="M107" s="13">
        <f>Sales_Data!M107</f>
        <v/>
      </c>
      <c r="N107" s="14">
        <f>Sales_Data!N107</f>
        <v/>
      </c>
      <c r="O107" s="9">
        <f>Sales_Data!O107</f>
        <v/>
      </c>
    </row>
    <row r="108" hidden="1">
      <c r="A108" s="9">
        <f>Sales_Data!A108</f>
        <v/>
      </c>
      <c r="B108" s="10">
        <f>Sales_Data!B108</f>
        <v/>
      </c>
      <c r="C108" s="9">
        <f>Sales_Data!C108</f>
        <v/>
      </c>
      <c r="D108" s="9">
        <f>Sales_Data!D108</f>
        <v/>
      </c>
      <c r="E108" s="9">
        <f>Sales_Data!E108</f>
        <v/>
      </c>
      <c r="F108" s="9">
        <f>Sales_Data!F108</f>
        <v/>
      </c>
      <c r="G108" s="9">
        <f>Sales_Data!G108</f>
        <v/>
      </c>
      <c r="H108" s="9">
        <f>Sales_Data!H108</f>
        <v/>
      </c>
      <c r="I108" s="9">
        <f>Sales_Data!I108</f>
        <v/>
      </c>
      <c r="J108" s="9">
        <f>Sales_Data!J108</f>
        <v/>
      </c>
      <c r="K108" s="11">
        <f>Sales_Data!K108</f>
        <v/>
      </c>
      <c r="L108" s="12">
        <f>Sales_Data!L108</f>
        <v/>
      </c>
      <c r="M108" s="13">
        <f>Sales_Data!M108</f>
        <v/>
      </c>
      <c r="N108" s="14">
        <f>Sales_Data!N108</f>
        <v/>
      </c>
      <c r="O108" s="9">
        <f>Sales_Data!O108</f>
        <v/>
      </c>
    </row>
    <row r="109" hidden="1">
      <c r="A109" s="9">
        <f>Sales_Data!A109</f>
        <v/>
      </c>
      <c r="B109" s="10">
        <f>Sales_Data!B109</f>
        <v/>
      </c>
      <c r="C109" s="9">
        <f>Sales_Data!C109</f>
        <v/>
      </c>
      <c r="D109" s="9">
        <f>Sales_Data!D109</f>
        <v/>
      </c>
      <c r="E109" s="9">
        <f>Sales_Data!E109</f>
        <v/>
      </c>
      <c r="F109" s="9">
        <f>Sales_Data!F109</f>
        <v/>
      </c>
      <c r="G109" s="9">
        <f>Sales_Data!G109</f>
        <v/>
      </c>
      <c r="H109" s="9">
        <f>Sales_Data!H109</f>
        <v/>
      </c>
      <c r="I109" s="9">
        <f>Sales_Data!I109</f>
        <v/>
      </c>
      <c r="J109" s="9">
        <f>Sales_Data!J109</f>
        <v/>
      </c>
      <c r="K109" s="11">
        <f>Sales_Data!K109</f>
        <v/>
      </c>
      <c r="L109" s="12">
        <f>Sales_Data!L109</f>
        <v/>
      </c>
      <c r="M109" s="13">
        <f>Sales_Data!M109</f>
        <v/>
      </c>
      <c r="N109" s="14">
        <f>Sales_Data!N109</f>
        <v/>
      </c>
      <c r="O109" s="9">
        <f>Sales_Data!O109</f>
        <v/>
      </c>
    </row>
    <row r="110" hidden="1">
      <c r="A110" s="9">
        <f>Sales_Data!A110</f>
        <v/>
      </c>
      <c r="B110" s="10">
        <f>Sales_Data!B110</f>
        <v/>
      </c>
      <c r="C110" s="9">
        <f>Sales_Data!C110</f>
        <v/>
      </c>
      <c r="D110" s="9">
        <f>Sales_Data!D110</f>
        <v/>
      </c>
      <c r="E110" s="9">
        <f>Sales_Data!E110</f>
        <v/>
      </c>
      <c r="F110" s="9">
        <f>Sales_Data!F110</f>
        <v/>
      </c>
      <c r="G110" s="9">
        <f>Sales_Data!G110</f>
        <v/>
      </c>
      <c r="H110" s="9">
        <f>Sales_Data!H110</f>
        <v/>
      </c>
      <c r="I110" s="9">
        <f>Sales_Data!I110</f>
        <v/>
      </c>
      <c r="J110" s="9">
        <f>Sales_Data!J110</f>
        <v/>
      </c>
      <c r="K110" s="11">
        <f>Sales_Data!K110</f>
        <v/>
      </c>
      <c r="L110" s="12">
        <f>Sales_Data!L110</f>
        <v/>
      </c>
      <c r="M110" s="13">
        <f>Sales_Data!M110</f>
        <v/>
      </c>
      <c r="N110" s="14">
        <f>Sales_Data!N110</f>
        <v/>
      </c>
      <c r="O110" s="9">
        <f>Sales_Data!O110</f>
        <v/>
      </c>
    </row>
    <row r="111">
      <c r="A111" s="9">
        <f>Sales_Data!A111</f>
        <v/>
      </c>
      <c r="B111" s="10">
        <f>Sales_Data!B111</f>
        <v/>
      </c>
      <c r="C111" s="9">
        <f>Sales_Data!C111</f>
        <v/>
      </c>
      <c r="D111" s="9">
        <f>Sales_Data!D111</f>
        <v/>
      </c>
      <c r="E111" s="9">
        <f>Sales_Data!E111</f>
        <v/>
      </c>
      <c r="F111" s="9">
        <f>Sales_Data!F111</f>
        <v/>
      </c>
      <c r="G111" s="9">
        <f>Sales_Data!G111</f>
        <v/>
      </c>
      <c r="H111" s="9">
        <f>Sales_Data!H111</f>
        <v/>
      </c>
      <c r="I111" s="9">
        <f>Sales_Data!I111</f>
        <v/>
      </c>
      <c r="J111" s="9">
        <f>Sales_Data!J111</f>
        <v/>
      </c>
      <c r="K111" s="11">
        <f>Sales_Data!K111</f>
        <v/>
      </c>
      <c r="L111" s="12">
        <f>Sales_Data!L111</f>
        <v/>
      </c>
      <c r="M111" s="13">
        <f>Sales_Data!M111</f>
        <v/>
      </c>
      <c r="N111" s="14">
        <f>Sales_Data!N111</f>
        <v/>
      </c>
      <c r="O111" s="9">
        <f>Sales_Data!O111</f>
        <v/>
      </c>
    </row>
    <row r="112">
      <c r="A112" s="9">
        <f>Sales_Data!A112</f>
        <v/>
      </c>
      <c r="B112" s="10">
        <f>Sales_Data!B112</f>
        <v/>
      </c>
      <c r="C112" s="9">
        <f>Sales_Data!C112</f>
        <v/>
      </c>
      <c r="D112" s="9">
        <f>Sales_Data!D112</f>
        <v/>
      </c>
      <c r="E112" s="9">
        <f>Sales_Data!E112</f>
        <v/>
      </c>
      <c r="F112" s="9">
        <f>Sales_Data!F112</f>
        <v/>
      </c>
      <c r="G112" s="9">
        <f>Sales_Data!G112</f>
        <v/>
      </c>
      <c r="H112" s="9">
        <f>Sales_Data!H112</f>
        <v/>
      </c>
      <c r="I112" s="9">
        <f>Sales_Data!I112</f>
        <v/>
      </c>
      <c r="J112" s="9">
        <f>Sales_Data!J112</f>
        <v/>
      </c>
      <c r="K112" s="11">
        <f>Sales_Data!K112</f>
        <v/>
      </c>
      <c r="L112" s="12">
        <f>Sales_Data!L112</f>
        <v/>
      </c>
      <c r="M112" s="13">
        <f>Sales_Data!M112</f>
        <v/>
      </c>
      <c r="N112" s="14">
        <f>Sales_Data!N112</f>
        <v/>
      </c>
      <c r="O112" s="9">
        <f>Sales_Data!O112</f>
        <v/>
      </c>
    </row>
    <row r="113" hidden="1">
      <c r="A113" s="9">
        <f>Sales_Data!A113</f>
        <v/>
      </c>
      <c r="B113" s="10">
        <f>Sales_Data!B113</f>
        <v/>
      </c>
      <c r="C113" s="9">
        <f>Sales_Data!C113</f>
        <v/>
      </c>
      <c r="D113" s="9">
        <f>Sales_Data!D113</f>
        <v/>
      </c>
      <c r="E113" s="9">
        <f>Sales_Data!E113</f>
        <v/>
      </c>
      <c r="F113" s="9">
        <f>Sales_Data!F113</f>
        <v/>
      </c>
      <c r="G113" s="9">
        <f>Sales_Data!G113</f>
        <v/>
      </c>
      <c r="H113" s="9">
        <f>Sales_Data!H113</f>
        <v/>
      </c>
      <c r="I113" s="9">
        <f>Sales_Data!I113</f>
        <v/>
      </c>
      <c r="J113" s="9">
        <f>Sales_Data!J113</f>
        <v/>
      </c>
      <c r="K113" s="11">
        <f>Sales_Data!K113</f>
        <v/>
      </c>
      <c r="L113" s="12">
        <f>Sales_Data!L113</f>
        <v/>
      </c>
      <c r="M113" s="13">
        <f>Sales_Data!M113</f>
        <v/>
      </c>
      <c r="N113" s="14">
        <f>Sales_Data!N113</f>
        <v/>
      </c>
      <c r="O113" s="9">
        <f>Sales_Data!O113</f>
        <v/>
      </c>
    </row>
    <row r="114" hidden="1">
      <c r="A114" s="9">
        <f>Sales_Data!A114</f>
        <v/>
      </c>
      <c r="B114" s="10">
        <f>Sales_Data!B114</f>
        <v/>
      </c>
      <c r="C114" s="9">
        <f>Sales_Data!C114</f>
        <v/>
      </c>
      <c r="D114" s="9">
        <f>Sales_Data!D114</f>
        <v/>
      </c>
      <c r="E114" s="9">
        <f>Sales_Data!E114</f>
        <v/>
      </c>
      <c r="F114" s="9">
        <f>Sales_Data!F114</f>
        <v/>
      </c>
      <c r="G114" s="9">
        <f>Sales_Data!G114</f>
        <v/>
      </c>
      <c r="H114" s="9">
        <f>Sales_Data!H114</f>
        <v/>
      </c>
      <c r="I114" s="9">
        <f>Sales_Data!I114</f>
        <v/>
      </c>
      <c r="J114" s="9">
        <f>Sales_Data!J114</f>
        <v/>
      </c>
      <c r="K114" s="11">
        <f>Sales_Data!K114</f>
        <v/>
      </c>
      <c r="L114" s="12">
        <f>Sales_Data!L114</f>
        <v/>
      </c>
      <c r="M114" s="13">
        <f>Sales_Data!M114</f>
        <v/>
      </c>
      <c r="N114" s="14">
        <f>Sales_Data!N114</f>
        <v/>
      </c>
      <c r="O114" s="9">
        <f>Sales_Data!O114</f>
        <v/>
      </c>
    </row>
    <row r="115" hidden="1">
      <c r="A115" s="9">
        <f>Sales_Data!A115</f>
        <v/>
      </c>
      <c r="B115" s="10">
        <f>Sales_Data!B115</f>
        <v/>
      </c>
      <c r="C115" s="9">
        <f>Sales_Data!C115</f>
        <v/>
      </c>
      <c r="D115" s="9">
        <f>Sales_Data!D115</f>
        <v/>
      </c>
      <c r="E115" s="9">
        <f>Sales_Data!E115</f>
        <v/>
      </c>
      <c r="F115" s="9">
        <f>Sales_Data!F115</f>
        <v/>
      </c>
      <c r="G115" s="9">
        <f>Sales_Data!G115</f>
        <v/>
      </c>
      <c r="H115" s="9">
        <f>Sales_Data!H115</f>
        <v/>
      </c>
      <c r="I115" s="9">
        <f>Sales_Data!I115</f>
        <v/>
      </c>
      <c r="J115" s="9">
        <f>Sales_Data!J115</f>
        <v/>
      </c>
      <c r="K115" s="11">
        <f>Sales_Data!K115</f>
        <v/>
      </c>
      <c r="L115" s="12">
        <f>Sales_Data!L115</f>
        <v/>
      </c>
      <c r="M115" s="13">
        <f>Sales_Data!M115</f>
        <v/>
      </c>
      <c r="N115" s="14">
        <f>Sales_Data!N115</f>
        <v/>
      </c>
      <c r="O115" s="9">
        <f>Sales_Data!O115</f>
        <v/>
      </c>
    </row>
    <row r="116" hidden="1">
      <c r="A116" s="9">
        <f>Sales_Data!A116</f>
        <v/>
      </c>
      <c r="B116" s="10">
        <f>Sales_Data!B116</f>
        <v/>
      </c>
      <c r="C116" s="9">
        <f>Sales_Data!C116</f>
        <v/>
      </c>
      <c r="D116" s="9">
        <f>Sales_Data!D116</f>
        <v/>
      </c>
      <c r="E116" s="9">
        <f>Sales_Data!E116</f>
        <v/>
      </c>
      <c r="F116" s="9">
        <f>Sales_Data!F116</f>
        <v/>
      </c>
      <c r="G116" s="9">
        <f>Sales_Data!G116</f>
        <v/>
      </c>
      <c r="H116" s="9">
        <f>Sales_Data!H116</f>
        <v/>
      </c>
      <c r="I116" s="9">
        <f>Sales_Data!I116</f>
        <v/>
      </c>
      <c r="J116" s="9">
        <f>Sales_Data!J116</f>
        <v/>
      </c>
      <c r="K116" s="11">
        <f>Sales_Data!K116</f>
        <v/>
      </c>
      <c r="L116" s="12">
        <f>Sales_Data!L116</f>
        <v/>
      </c>
      <c r="M116" s="13">
        <f>Sales_Data!M116</f>
        <v/>
      </c>
      <c r="N116" s="14">
        <f>Sales_Data!N116</f>
        <v/>
      </c>
      <c r="O116" s="9">
        <f>Sales_Data!O116</f>
        <v/>
      </c>
    </row>
    <row r="117" hidden="1">
      <c r="A117" s="9">
        <f>Sales_Data!A117</f>
        <v/>
      </c>
      <c r="B117" s="10">
        <f>Sales_Data!B117</f>
        <v/>
      </c>
      <c r="C117" s="9">
        <f>Sales_Data!C117</f>
        <v/>
      </c>
      <c r="D117" s="9">
        <f>Sales_Data!D117</f>
        <v/>
      </c>
      <c r="E117" s="9">
        <f>Sales_Data!E117</f>
        <v/>
      </c>
      <c r="F117" s="9">
        <f>Sales_Data!F117</f>
        <v/>
      </c>
      <c r="G117" s="9">
        <f>Sales_Data!G117</f>
        <v/>
      </c>
      <c r="H117" s="9">
        <f>Sales_Data!H117</f>
        <v/>
      </c>
      <c r="I117" s="9">
        <f>Sales_Data!I117</f>
        <v/>
      </c>
      <c r="J117" s="9">
        <f>Sales_Data!J117</f>
        <v/>
      </c>
      <c r="K117" s="11">
        <f>Sales_Data!K117</f>
        <v/>
      </c>
      <c r="L117" s="12">
        <f>Sales_Data!L117</f>
        <v/>
      </c>
      <c r="M117" s="13">
        <f>Sales_Data!M117</f>
        <v/>
      </c>
      <c r="N117" s="14">
        <f>Sales_Data!N117</f>
        <v/>
      </c>
      <c r="O117" s="9">
        <f>Sales_Data!O117</f>
        <v/>
      </c>
    </row>
    <row r="118" hidden="1">
      <c r="A118" s="9">
        <f>Sales_Data!A118</f>
        <v/>
      </c>
      <c r="B118" s="10">
        <f>Sales_Data!B118</f>
        <v/>
      </c>
      <c r="C118" s="9">
        <f>Sales_Data!C118</f>
        <v/>
      </c>
      <c r="D118" s="9">
        <f>Sales_Data!D118</f>
        <v/>
      </c>
      <c r="E118" s="9">
        <f>Sales_Data!E118</f>
        <v/>
      </c>
      <c r="F118" s="9">
        <f>Sales_Data!F118</f>
        <v/>
      </c>
      <c r="G118" s="9">
        <f>Sales_Data!G118</f>
        <v/>
      </c>
      <c r="H118" s="9">
        <f>Sales_Data!H118</f>
        <v/>
      </c>
      <c r="I118" s="9">
        <f>Sales_Data!I118</f>
        <v/>
      </c>
      <c r="J118" s="9">
        <f>Sales_Data!J118</f>
        <v/>
      </c>
      <c r="K118" s="11">
        <f>Sales_Data!K118</f>
        <v/>
      </c>
      <c r="L118" s="12">
        <f>Sales_Data!L118</f>
        <v/>
      </c>
      <c r="M118" s="13">
        <f>Sales_Data!M118</f>
        <v/>
      </c>
      <c r="N118" s="14">
        <f>Sales_Data!N118</f>
        <v/>
      </c>
      <c r="O118" s="9">
        <f>Sales_Data!O118</f>
        <v/>
      </c>
    </row>
    <row r="119" hidden="1">
      <c r="A119" s="9">
        <f>Sales_Data!A119</f>
        <v/>
      </c>
      <c r="B119" s="10">
        <f>Sales_Data!B119</f>
        <v/>
      </c>
      <c r="C119" s="9">
        <f>Sales_Data!C119</f>
        <v/>
      </c>
      <c r="D119" s="9">
        <f>Sales_Data!D119</f>
        <v/>
      </c>
      <c r="E119" s="9">
        <f>Sales_Data!E119</f>
        <v/>
      </c>
      <c r="F119" s="9">
        <f>Sales_Data!F119</f>
        <v/>
      </c>
      <c r="G119" s="9">
        <f>Sales_Data!G119</f>
        <v/>
      </c>
      <c r="H119" s="9">
        <f>Sales_Data!H119</f>
        <v/>
      </c>
      <c r="I119" s="9">
        <f>Sales_Data!I119</f>
        <v/>
      </c>
      <c r="J119" s="9">
        <f>Sales_Data!J119</f>
        <v/>
      </c>
      <c r="K119" s="11">
        <f>Sales_Data!K119</f>
        <v/>
      </c>
      <c r="L119" s="12">
        <f>Sales_Data!L119</f>
        <v/>
      </c>
      <c r="M119" s="13">
        <f>Sales_Data!M119</f>
        <v/>
      </c>
      <c r="N119" s="14">
        <f>Sales_Data!N119</f>
        <v/>
      </c>
      <c r="O119" s="9">
        <f>Sales_Data!O119</f>
        <v/>
      </c>
    </row>
    <row r="120" hidden="1">
      <c r="A120" s="9">
        <f>Sales_Data!A120</f>
        <v/>
      </c>
      <c r="B120" s="10">
        <f>Sales_Data!B120</f>
        <v/>
      </c>
      <c r="C120" s="9">
        <f>Sales_Data!C120</f>
        <v/>
      </c>
      <c r="D120" s="9">
        <f>Sales_Data!D120</f>
        <v/>
      </c>
      <c r="E120" s="9">
        <f>Sales_Data!E120</f>
        <v/>
      </c>
      <c r="F120" s="9">
        <f>Sales_Data!F120</f>
        <v/>
      </c>
      <c r="G120" s="9">
        <f>Sales_Data!G120</f>
        <v/>
      </c>
      <c r="H120" s="9">
        <f>Sales_Data!H120</f>
        <v/>
      </c>
      <c r="I120" s="9">
        <f>Sales_Data!I120</f>
        <v/>
      </c>
      <c r="J120" s="9">
        <f>Sales_Data!J120</f>
        <v/>
      </c>
      <c r="K120" s="11">
        <f>Sales_Data!K120</f>
        <v/>
      </c>
      <c r="L120" s="12">
        <f>Sales_Data!L120</f>
        <v/>
      </c>
      <c r="M120" s="13">
        <f>Sales_Data!M120</f>
        <v/>
      </c>
      <c r="N120" s="14">
        <f>Sales_Data!N120</f>
        <v/>
      </c>
      <c r="O120" s="9">
        <f>Sales_Data!O120</f>
        <v/>
      </c>
    </row>
    <row r="121" hidden="1">
      <c r="A121" s="9">
        <f>Sales_Data!A121</f>
        <v/>
      </c>
      <c r="B121" s="10">
        <f>Sales_Data!B121</f>
        <v/>
      </c>
      <c r="C121" s="9">
        <f>Sales_Data!C121</f>
        <v/>
      </c>
      <c r="D121" s="9">
        <f>Sales_Data!D121</f>
        <v/>
      </c>
      <c r="E121" s="9">
        <f>Sales_Data!E121</f>
        <v/>
      </c>
      <c r="F121" s="9">
        <f>Sales_Data!F121</f>
        <v/>
      </c>
      <c r="G121" s="9">
        <f>Sales_Data!G121</f>
        <v/>
      </c>
      <c r="H121" s="9">
        <f>Sales_Data!H121</f>
        <v/>
      </c>
      <c r="I121" s="9">
        <f>Sales_Data!I121</f>
        <v/>
      </c>
      <c r="J121" s="9">
        <f>Sales_Data!J121</f>
        <v/>
      </c>
      <c r="K121" s="11">
        <f>Sales_Data!K121</f>
        <v/>
      </c>
      <c r="L121" s="12">
        <f>Sales_Data!L121</f>
        <v/>
      </c>
      <c r="M121" s="13">
        <f>Sales_Data!M121</f>
        <v/>
      </c>
      <c r="N121" s="14">
        <f>Sales_Data!N121</f>
        <v/>
      </c>
      <c r="O121" s="9">
        <f>Sales_Data!O121</f>
        <v/>
      </c>
    </row>
  </sheetData>
  <autoFilter ref="A1:O121">
    <filterColumn colId="6" hiddenButton="0" showButton="1">
      <filters blank="0">
        <filter val="West"/>
      </filters>
    </filterColumn>
    <filterColumn colId="8" hiddenButton="0" showButton="1">
      <filters blank="0">
        <filter val="Technology"/>
      </filters>
    </filterColumn>
  </autoFilter>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E24"/>
  <sheetViews>
    <sheetView workbookViewId="0">
      <selection activeCell="A1" sqref="A1"/>
    </sheetView>
  </sheetViews>
  <sheetFormatPr baseColWidth="8" defaultRowHeight="15"/>
  <cols>
    <col width="18" customWidth="1" min="1" max="1"/>
    <col width="20" customWidth="1" min="2" max="2"/>
    <col width="36" customWidth="1" min="3" max="3"/>
    <col width="60" customWidth="1" min="4" max="4"/>
    <col width="16" customWidth="1" min="5" max="5"/>
  </cols>
  <sheetData>
    <row r="1">
      <c r="A1" s="1" t="inlineStr">
        <is>
          <t>Task 7: Conditional Formatting and Excel Functions</t>
        </is>
      </c>
    </row>
    <row r="2">
      <c r="A2" s="17" t="inlineStr">
        <is>
          <t>Source data: Sales_Data rows 2 to 121. Every result below is a live formula.</t>
        </is>
      </c>
    </row>
    <row r="4">
      <c r="A4" s="2" t="inlineStr">
        <is>
          <t>A. Conditional formatting rules (applied on Sales_Data)</t>
        </is>
      </c>
    </row>
    <row r="5" ht="30" customHeight="1">
      <c r="A5" s="4" t="inlineStr">
        <is>
          <t>Column</t>
        </is>
      </c>
      <c r="B5" s="4" t="inlineStr">
        <is>
          <t>Rule</t>
        </is>
      </c>
      <c r="C5" s="4" t="inlineStr">
        <is>
          <t>Format applied</t>
        </is>
      </c>
      <c r="D5" s="4" t="inlineStr">
        <is>
          <t>Why it is useful</t>
        </is>
      </c>
    </row>
    <row r="6" ht="28" customHeight="1">
      <c r="A6" s="7" t="inlineStr">
        <is>
          <t>Profit (N)</t>
        </is>
      </c>
      <c r="B6" s="7" t="inlineStr">
        <is>
          <t>Value is less than 0</t>
        </is>
      </c>
      <c r="C6" s="7" t="inlineStr">
        <is>
          <t>Light red fill, dark red text</t>
        </is>
      </c>
      <c r="D6" s="7" t="inlineStr">
        <is>
          <t>Spots loss-making orders at a glance.</t>
        </is>
      </c>
    </row>
    <row r="7" ht="28" customHeight="1">
      <c r="A7" s="7" t="inlineStr">
        <is>
          <t>Sales (K)</t>
        </is>
      </c>
      <c r="B7" s="7" t="inlineStr">
        <is>
          <t>Value is 1,000 or more</t>
        </is>
      </c>
      <c r="C7" s="7" t="inlineStr">
        <is>
          <t>Light green fill, dark green text</t>
        </is>
      </c>
      <c r="D7" s="7" t="inlineStr">
        <is>
          <t>Highlights high-value orders.</t>
        </is>
      </c>
    </row>
    <row r="8" ht="28" customHeight="1">
      <c r="A8" s="7" t="inlineStr">
        <is>
          <t>Discount (M)</t>
        </is>
      </c>
      <c r="B8" s="7" t="inlineStr">
        <is>
          <t>Value is 30% or more</t>
        </is>
      </c>
      <c r="C8" s="7" t="inlineStr">
        <is>
          <t>Light yellow fill, brown text</t>
        </is>
      </c>
      <c r="D8" s="7" t="inlineStr">
        <is>
          <t>Flags heavy discounts, which can push an order into a loss.</t>
        </is>
      </c>
    </row>
    <row r="9" ht="28" customHeight="1">
      <c r="A9" s="7" t="inlineStr">
        <is>
          <t>Loss Flag (O)</t>
        </is>
      </c>
      <c r="B9" s="7" t="inlineStr">
        <is>
          <t>Text equals Loss</t>
        </is>
      </c>
      <c r="C9" s="7" t="inlineStr">
        <is>
          <t>Light red fill, dark red text</t>
        </is>
      </c>
      <c r="D9" s="7" t="inlineStr">
        <is>
          <t>Highlights rows that the IF formula labelled Loss.</t>
        </is>
      </c>
    </row>
    <row r="11">
      <c r="A11" s="2" t="inlineStr">
        <is>
          <t>B. Functions: IF, COUNTIF and SUMIF</t>
        </is>
      </c>
    </row>
    <row r="12" ht="30" customHeight="1">
      <c r="A12" s="4" t="inlineStr">
        <is>
          <t>Function</t>
        </is>
      </c>
      <c r="B12" s="4" t="inlineStr">
        <is>
          <t>Result</t>
        </is>
      </c>
      <c r="C12" s="4" t="inlineStr">
        <is>
          <t>What it answers</t>
        </is>
      </c>
      <c r="D12" s="4" t="inlineStr">
        <is>
          <t>Purpose of the function</t>
        </is>
      </c>
      <c r="E12" s="18" t="inlineStr">
        <is>
          <t>Check</t>
        </is>
      </c>
    </row>
    <row r="13" ht="54" customHeight="1">
      <c r="A13" s="19" t="inlineStr">
        <is>
          <t>IF</t>
        </is>
      </c>
      <c r="B13" s="20">
        <f>IF(SUM(Sales_Data!N2:N121)&gt;0,"Profitable overall","Loss overall")</f>
        <v/>
      </c>
      <c r="C13" s="7" t="inlineStr">
        <is>
          <t>Is total profit positive?</t>
        </is>
      </c>
      <c r="D13" s="7" t="inlineStr">
        <is>
          <t>IF returns one value when a condition is TRUE and another when it is FALSE. Used here for the overall verdict and for the per-order Loss Flag in Sales_Data column O.</t>
        </is>
      </c>
    </row>
    <row r="14" ht="54" customHeight="1">
      <c r="A14" s="19" t="inlineStr">
        <is>
          <t>COUNTIF</t>
        </is>
      </c>
      <c r="B14" s="21">
        <f>COUNTIF(Sales_Data!N2:N121,"&lt;0")</f>
        <v/>
      </c>
      <c r="C14" s="7" t="inlineStr">
        <is>
          <t>How many orders made a loss?</t>
        </is>
      </c>
      <c r="D14" s="7" t="inlineStr">
        <is>
          <t>COUNTIF counts the cells in a range that meet one condition. Used here to count negative profit values.</t>
        </is>
      </c>
    </row>
    <row r="15" ht="54" customHeight="1">
      <c r="A15" s="19" t="inlineStr">
        <is>
          <t>COUNTIF</t>
        </is>
      </c>
      <c r="B15" s="21">
        <f>COUNTIF(Sales_Data!O2:O121,"Loss")</f>
        <v/>
      </c>
      <c r="C15" s="7" t="inlineStr">
        <is>
          <t>Cross-check: how many rows are labelled Loss?</t>
        </is>
      </c>
      <c r="D15" s="7" t="inlineStr">
        <is>
          <t>Counts text matches. It should equal the result above, so the IF formulas and the COUNTIF agree.</t>
        </is>
      </c>
      <c r="E15" s="6">
        <f>IF(B14=B15,"Matches","Mismatch")</f>
        <v/>
      </c>
    </row>
    <row r="16" ht="54" customHeight="1">
      <c r="A16" s="19" t="inlineStr">
        <is>
          <t>SUMIF</t>
        </is>
      </c>
      <c r="B16" s="22">
        <f>SUMIF(Sales_Data!I2:I121,"Technology",Sales_Data!K2:K121)</f>
        <v/>
      </c>
      <c r="C16" s="7" t="inlineStr">
        <is>
          <t>Total sales for the Technology category</t>
        </is>
      </c>
      <c r="D16" s="7" t="inlineStr">
        <is>
          <t>SUMIF adds the values in one column (Sales) only where a condition in another column (Category) is met.</t>
        </is>
      </c>
    </row>
    <row r="17" ht="54" customHeight="1">
      <c r="A17" s="19" t="inlineStr">
        <is>
          <t>SUMIF</t>
        </is>
      </c>
      <c r="B17" s="23">
        <f>SUMIF(Sales_Data!I2:I121,"Furniture",Sales_Data!N2:N121)</f>
        <v/>
      </c>
      <c r="C17" s="7" t="inlineStr">
        <is>
          <t>Total profit for the Furniture category</t>
        </is>
      </c>
      <c r="D17" s="7" t="inlineStr">
        <is>
          <t>A second SUMIF, this time adding Profit. A negative result means the category lost money overall.</t>
        </is>
      </c>
    </row>
    <row r="19">
      <c r="A19" s="2" t="inlineStr">
        <is>
          <t>C. Category summary combining COUNTIF, SUMIF and IF</t>
        </is>
      </c>
    </row>
    <row r="20" ht="30" customHeight="1">
      <c r="A20" s="4" t="inlineStr">
        <is>
          <t>Category</t>
        </is>
      </c>
      <c r="B20" s="4" t="inlineStr">
        <is>
          <t>Orders (COUNTIF)</t>
        </is>
      </c>
      <c r="C20" s="4" t="inlineStr">
        <is>
          <t>Total Sales (SUMIF)</t>
        </is>
      </c>
      <c r="D20" s="4" t="inlineStr">
        <is>
          <t>Total Profit (SUMIF)</t>
        </is>
      </c>
      <c r="E20" s="4" t="inlineStr">
        <is>
          <t>Status (IF)</t>
        </is>
      </c>
    </row>
    <row r="21">
      <c r="A21" s="24" t="inlineStr">
        <is>
          <t>Furniture</t>
        </is>
      </c>
      <c r="B21" s="25">
        <f>COUNTIF(Sales_Data!$I$2:$I$121,A21)</f>
        <v/>
      </c>
      <c r="C21" s="26">
        <f>SUMIF(Sales_Data!$I$2:$I$121,A21,Sales_Data!$K$2:$K$121)</f>
        <v/>
      </c>
      <c r="D21" s="27">
        <f>SUMIF(Sales_Data!$I$2:$I$121,A21,Sales_Data!$N$2:$N$121)</f>
        <v/>
      </c>
      <c r="E21" s="6">
        <f>IF(D21&gt;=0,"Profitable","Loss-making")</f>
        <v/>
      </c>
    </row>
    <row r="22">
      <c r="A22" s="24" t="inlineStr">
        <is>
          <t>Office Supplies</t>
        </is>
      </c>
      <c r="B22" s="25">
        <f>COUNTIF(Sales_Data!$I$2:$I$121,A22)</f>
        <v/>
      </c>
      <c r="C22" s="26">
        <f>SUMIF(Sales_Data!$I$2:$I$121,A22,Sales_Data!$K$2:$K$121)</f>
        <v/>
      </c>
      <c r="D22" s="27">
        <f>SUMIF(Sales_Data!$I$2:$I$121,A22,Sales_Data!$N$2:$N$121)</f>
        <v/>
      </c>
      <c r="E22" s="6">
        <f>IF(D22&gt;=0,"Profitable","Loss-making")</f>
        <v/>
      </c>
    </row>
    <row r="23">
      <c r="A23" s="24" t="inlineStr">
        <is>
          <t>Technology</t>
        </is>
      </c>
      <c r="B23" s="25">
        <f>COUNTIF(Sales_Data!$I$2:$I$121,A23)</f>
        <v/>
      </c>
      <c r="C23" s="26">
        <f>SUMIF(Sales_Data!$I$2:$I$121,A23,Sales_Data!$K$2:$K$121)</f>
        <v/>
      </c>
      <c r="D23" s="27">
        <f>SUMIF(Sales_Data!$I$2:$I$121,A23,Sales_Data!$N$2:$N$121)</f>
        <v/>
      </c>
      <c r="E23" s="6">
        <f>IF(D23&gt;=0,"Profitable","Loss-making")</f>
        <v/>
      </c>
    </row>
    <row r="24">
      <c r="A24" s="28" t="inlineStr">
        <is>
          <t>Total</t>
        </is>
      </c>
      <c r="B24" s="29">
        <f>SUM(B21:B23)</f>
        <v/>
      </c>
      <c r="C24" s="30">
        <f>SUM(C21:C23)</f>
        <v/>
      </c>
      <c r="D24" s="31">
        <f>SUM(D21:D23)</f>
        <v/>
      </c>
      <c r="E24" s="32">
        <f>IF(D24&gt;=0,"Profitable","Loss-making")</f>
        <v/>
      </c>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G36"/>
  <sheetViews>
    <sheetView workbookViewId="0">
      <selection activeCell="A1" sqref="A1"/>
    </sheetView>
  </sheetViews>
  <sheetFormatPr baseColWidth="8" defaultRowHeight="15"/>
  <cols>
    <col width="22" customWidth="1" min="1" max="1"/>
    <col width="16" customWidth="1" min="2" max="2"/>
    <col width="30" customWidth="1" min="3" max="3"/>
    <col width="16" customWidth="1" min="4" max="4"/>
    <col width="30" customWidth="1" min="5" max="5"/>
    <col width="16" customWidth="1" min="6" max="6"/>
    <col width="14" customWidth="1" min="7" max="7"/>
  </cols>
  <sheetData>
    <row r="1">
      <c r="A1" s="1" t="inlineStr">
        <is>
          <t>Task 8: VLOOKUP and XLOOKUP</t>
        </is>
      </c>
    </row>
    <row r="2">
      <c r="A2" s="17" t="inlineStr">
        <is>
          <t>Product_Master (table 2) is looked up using Product ID from Sales_Data (table 1). The two tables are related through Product ID.</t>
        </is>
      </c>
    </row>
    <row r="4">
      <c r="A4" s="2" t="inlineStr">
        <is>
          <t>Part A: Retrieve product details for sample orders</t>
        </is>
      </c>
    </row>
    <row r="5" ht="32" customHeight="1">
      <c r="A5" s="4" t="inlineStr">
        <is>
          <t>Order ID</t>
        </is>
      </c>
      <c r="B5" s="4" t="inlineStr">
        <is>
          <t>Product ID</t>
        </is>
      </c>
      <c r="C5" s="4" t="inlineStr">
        <is>
          <t>VLOOKUP: Product Name</t>
        </is>
      </c>
      <c r="D5" s="4" t="inlineStr">
        <is>
          <t>VLOOKUP: Unit Price</t>
        </is>
      </c>
      <c r="E5" s="4" t="inlineStr">
        <is>
          <t>XLOOKUP: Product Name</t>
        </is>
      </c>
      <c r="F5" s="4" t="inlineStr">
        <is>
          <t>XLOOKUP: Unit Price</t>
        </is>
      </c>
      <c r="G5" s="4" t="inlineStr">
        <is>
          <t>Results match?</t>
        </is>
      </c>
    </row>
    <row r="6">
      <c r="A6" s="6">
        <f>Sales_Data!A2</f>
        <v/>
      </c>
      <c r="B6" s="6">
        <f>Sales_Data!H2</f>
        <v/>
      </c>
      <c r="C6" s="24">
        <f>IFERROR(VLOOKUP(B6,Product_Master!$A$2:$E$22,2,FALSE),"Not found")</f>
        <v/>
      </c>
      <c r="D6" s="33">
        <f>IFERROR(VLOOKUP(B6,Product_Master!$A$2:$E$22,5,FALSE),"Not found")</f>
        <v/>
      </c>
      <c r="E6" s="24">
        <f>_xlfn.XLOOKUP(B6,Product_Master!$A$2:$A$22,Product_Master!$B$2:$B$22,"Not found")</f>
        <v/>
      </c>
      <c r="F6" s="33">
        <f>_xlfn.XLOOKUP(B6,Product_Master!$A$2:$A$22,Product_Master!$E$2:$E$22,"Not found")</f>
        <v/>
      </c>
      <c r="G6" s="6">
        <f>IF(AND(C6=E6,D6=F6),"Match","Check")</f>
        <v/>
      </c>
    </row>
    <row r="7">
      <c r="A7" s="6">
        <f>Sales_Data!A3</f>
        <v/>
      </c>
      <c r="B7" s="6">
        <f>Sales_Data!H3</f>
        <v/>
      </c>
      <c r="C7" s="24">
        <f>IFERROR(VLOOKUP(B7,Product_Master!$A$2:$E$22,2,FALSE),"Not found")</f>
        <v/>
      </c>
      <c r="D7" s="33">
        <f>IFERROR(VLOOKUP(B7,Product_Master!$A$2:$E$22,5,FALSE),"Not found")</f>
        <v/>
      </c>
      <c r="E7" s="24">
        <f>_xlfn.XLOOKUP(B7,Product_Master!$A$2:$A$22,Product_Master!$B$2:$B$22,"Not found")</f>
        <v/>
      </c>
      <c r="F7" s="33">
        <f>_xlfn.XLOOKUP(B7,Product_Master!$A$2:$A$22,Product_Master!$E$2:$E$22,"Not found")</f>
        <v/>
      </c>
      <c r="G7" s="6">
        <f>IF(AND(C7=E7,D7=F7),"Match","Check")</f>
        <v/>
      </c>
    </row>
    <row r="8">
      <c r="A8" s="6">
        <f>Sales_Data!A4</f>
        <v/>
      </c>
      <c r="B8" s="6">
        <f>Sales_Data!H4</f>
        <v/>
      </c>
      <c r="C8" s="24">
        <f>IFERROR(VLOOKUP(B8,Product_Master!$A$2:$E$22,2,FALSE),"Not found")</f>
        <v/>
      </c>
      <c r="D8" s="33">
        <f>IFERROR(VLOOKUP(B8,Product_Master!$A$2:$E$22,5,FALSE),"Not found")</f>
        <v/>
      </c>
      <c r="E8" s="24">
        <f>_xlfn.XLOOKUP(B8,Product_Master!$A$2:$A$22,Product_Master!$B$2:$B$22,"Not found")</f>
        <v/>
      </c>
      <c r="F8" s="33">
        <f>_xlfn.XLOOKUP(B8,Product_Master!$A$2:$A$22,Product_Master!$E$2:$E$22,"Not found")</f>
        <v/>
      </c>
      <c r="G8" s="6">
        <f>IF(AND(C8=E8,D8=F8),"Match","Check")</f>
        <v/>
      </c>
    </row>
    <row r="9">
      <c r="A9" s="6">
        <f>Sales_Data!A5</f>
        <v/>
      </c>
      <c r="B9" s="6">
        <f>Sales_Data!H5</f>
        <v/>
      </c>
      <c r="C9" s="24">
        <f>IFERROR(VLOOKUP(B9,Product_Master!$A$2:$E$22,2,FALSE),"Not found")</f>
        <v/>
      </c>
      <c r="D9" s="33">
        <f>IFERROR(VLOOKUP(B9,Product_Master!$A$2:$E$22,5,FALSE),"Not found")</f>
        <v/>
      </c>
      <c r="E9" s="24">
        <f>_xlfn.XLOOKUP(B9,Product_Master!$A$2:$A$22,Product_Master!$B$2:$B$22,"Not found")</f>
        <v/>
      </c>
      <c r="F9" s="33">
        <f>_xlfn.XLOOKUP(B9,Product_Master!$A$2:$A$22,Product_Master!$E$2:$E$22,"Not found")</f>
        <v/>
      </c>
      <c r="G9" s="6">
        <f>IF(AND(C9=E9,D9=F9),"Match","Check")</f>
        <v/>
      </c>
    </row>
    <row r="10">
      <c r="A10" s="6">
        <f>Sales_Data!A6</f>
        <v/>
      </c>
      <c r="B10" s="6">
        <f>Sales_Data!H6</f>
        <v/>
      </c>
      <c r="C10" s="24">
        <f>IFERROR(VLOOKUP(B10,Product_Master!$A$2:$E$22,2,FALSE),"Not found")</f>
        <v/>
      </c>
      <c r="D10" s="33">
        <f>IFERROR(VLOOKUP(B10,Product_Master!$A$2:$E$22,5,FALSE),"Not found")</f>
        <v/>
      </c>
      <c r="E10" s="24">
        <f>_xlfn.XLOOKUP(B10,Product_Master!$A$2:$A$22,Product_Master!$B$2:$B$22,"Not found")</f>
        <v/>
      </c>
      <c r="F10" s="33">
        <f>_xlfn.XLOOKUP(B10,Product_Master!$A$2:$A$22,Product_Master!$E$2:$E$22,"Not found")</f>
        <v/>
      </c>
      <c r="G10" s="6">
        <f>IF(AND(C10=E10,D10=F10),"Match","Check")</f>
        <v/>
      </c>
    </row>
    <row r="11">
      <c r="A11" s="6">
        <f>Sales_Data!A7</f>
        <v/>
      </c>
      <c r="B11" s="6">
        <f>Sales_Data!H7</f>
        <v/>
      </c>
      <c r="C11" s="24">
        <f>IFERROR(VLOOKUP(B11,Product_Master!$A$2:$E$22,2,FALSE),"Not found")</f>
        <v/>
      </c>
      <c r="D11" s="33">
        <f>IFERROR(VLOOKUP(B11,Product_Master!$A$2:$E$22,5,FALSE),"Not found")</f>
        <v/>
      </c>
      <c r="E11" s="24">
        <f>_xlfn.XLOOKUP(B11,Product_Master!$A$2:$A$22,Product_Master!$B$2:$B$22,"Not found")</f>
        <v/>
      </c>
      <c r="F11" s="33">
        <f>_xlfn.XLOOKUP(B11,Product_Master!$A$2:$A$22,Product_Master!$E$2:$E$22,"Not found")</f>
        <v/>
      </c>
      <c r="G11" s="6">
        <f>IF(AND(C11=E11,D11=F11),"Match","Check")</f>
        <v/>
      </c>
    </row>
    <row r="12">
      <c r="A12" s="6">
        <f>Sales_Data!A8</f>
        <v/>
      </c>
      <c r="B12" s="6">
        <f>Sales_Data!H8</f>
        <v/>
      </c>
      <c r="C12" s="24">
        <f>IFERROR(VLOOKUP(B12,Product_Master!$A$2:$E$22,2,FALSE),"Not found")</f>
        <v/>
      </c>
      <c r="D12" s="33">
        <f>IFERROR(VLOOKUP(B12,Product_Master!$A$2:$E$22,5,FALSE),"Not found")</f>
        <v/>
      </c>
      <c r="E12" s="24">
        <f>_xlfn.XLOOKUP(B12,Product_Master!$A$2:$A$22,Product_Master!$B$2:$B$22,"Not found")</f>
        <v/>
      </c>
      <c r="F12" s="33">
        <f>_xlfn.XLOOKUP(B12,Product_Master!$A$2:$A$22,Product_Master!$E$2:$E$22,"Not found")</f>
        <v/>
      </c>
      <c r="G12" s="6">
        <f>IF(AND(C12=E12,D12=F12),"Match","Check")</f>
        <v/>
      </c>
    </row>
    <row r="13">
      <c r="A13" s="6">
        <f>Sales_Data!A9</f>
        <v/>
      </c>
      <c r="B13" s="6">
        <f>Sales_Data!H9</f>
        <v/>
      </c>
      <c r="C13" s="24">
        <f>IFERROR(VLOOKUP(B13,Product_Master!$A$2:$E$22,2,FALSE),"Not found")</f>
        <v/>
      </c>
      <c r="D13" s="33">
        <f>IFERROR(VLOOKUP(B13,Product_Master!$A$2:$E$22,5,FALSE),"Not found")</f>
        <v/>
      </c>
      <c r="E13" s="24">
        <f>_xlfn.XLOOKUP(B13,Product_Master!$A$2:$A$22,Product_Master!$B$2:$B$22,"Not found")</f>
        <v/>
      </c>
      <c r="F13" s="33">
        <f>_xlfn.XLOOKUP(B13,Product_Master!$A$2:$A$22,Product_Master!$E$2:$E$22,"Not found")</f>
        <v/>
      </c>
      <c r="G13" s="6">
        <f>IF(AND(C13=E13,D13=F13),"Match","Check")</f>
        <v/>
      </c>
    </row>
    <row r="14">
      <c r="A14" s="6">
        <f>Sales_Data!A10</f>
        <v/>
      </c>
      <c r="B14" s="6">
        <f>Sales_Data!H10</f>
        <v/>
      </c>
      <c r="C14" s="24">
        <f>IFERROR(VLOOKUP(B14,Product_Master!$A$2:$E$22,2,FALSE),"Not found")</f>
        <v/>
      </c>
      <c r="D14" s="33">
        <f>IFERROR(VLOOKUP(B14,Product_Master!$A$2:$E$22,5,FALSE),"Not found")</f>
        <v/>
      </c>
      <c r="E14" s="24">
        <f>_xlfn.XLOOKUP(B14,Product_Master!$A$2:$A$22,Product_Master!$B$2:$B$22,"Not found")</f>
        <v/>
      </c>
      <c r="F14" s="33">
        <f>_xlfn.XLOOKUP(B14,Product_Master!$A$2:$A$22,Product_Master!$E$2:$E$22,"Not found")</f>
        <v/>
      </c>
      <c r="G14" s="6">
        <f>IF(AND(C14=E14,D14=F14),"Match","Check")</f>
        <v/>
      </c>
    </row>
    <row r="15">
      <c r="A15" s="6">
        <f>Sales_Data!A11</f>
        <v/>
      </c>
      <c r="B15" s="6">
        <f>Sales_Data!H11</f>
        <v/>
      </c>
      <c r="C15" s="24">
        <f>IFERROR(VLOOKUP(B15,Product_Master!$A$2:$E$22,2,FALSE),"Not found")</f>
        <v/>
      </c>
      <c r="D15" s="33">
        <f>IFERROR(VLOOKUP(B15,Product_Master!$A$2:$E$22,5,FALSE),"Not found")</f>
        <v/>
      </c>
      <c r="E15" s="24">
        <f>_xlfn.XLOOKUP(B15,Product_Master!$A$2:$A$22,Product_Master!$B$2:$B$22,"Not found")</f>
        <v/>
      </c>
      <c r="F15" s="33">
        <f>_xlfn.XLOOKUP(B15,Product_Master!$A$2:$A$22,Product_Master!$E$2:$E$22,"Not found")</f>
        <v/>
      </c>
      <c r="G15" s="6">
        <f>IF(AND(C15=E15,D15=F15),"Match","Check")</f>
        <v/>
      </c>
    </row>
    <row r="16">
      <c r="A16" s="6">
        <f>Sales_Data!A12</f>
        <v/>
      </c>
      <c r="B16" s="6">
        <f>Sales_Data!H12</f>
        <v/>
      </c>
      <c r="C16" s="24">
        <f>IFERROR(VLOOKUP(B16,Product_Master!$A$2:$E$22,2,FALSE),"Not found")</f>
        <v/>
      </c>
      <c r="D16" s="33">
        <f>IFERROR(VLOOKUP(B16,Product_Master!$A$2:$E$22,5,FALSE),"Not found")</f>
        <v/>
      </c>
      <c r="E16" s="24">
        <f>_xlfn.XLOOKUP(B16,Product_Master!$A$2:$A$22,Product_Master!$B$2:$B$22,"Not found")</f>
        <v/>
      </c>
      <c r="F16" s="33">
        <f>_xlfn.XLOOKUP(B16,Product_Master!$A$2:$A$22,Product_Master!$E$2:$E$22,"Not found")</f>
        <v/>
      </c>
      <c r="G16" s="6">
        <f>IF(AND(C16=E16,D16=F16),"Match","Check")</f>
        <v/>
      </c>
    </row>
    <row r="17">
      <c r="A17" s="6">
        <f>Sales_Data!A13</f>
        <v/>
      </c>
      <c r="B17" s="6">
        <f>Sales_Data!H13</f>
        <v/>
      </c>
      <c r="C17" s="24">
        <f>IFERROR(VLOOKUP(B17,Product_Master!$A$2:$E$22,2,FALSE),"Not found")</f>
        <v/>
      </c>
      <c r="D17" s="33">
        <f>IFERROR(VLOOKUP(B17,Product_Master!$A$2:$E$22,5,FALSE),"Not found")</f>
        <v/>
      </c>
      <c r="E17" s="24">
        <f>_xlfn.XLOOKUP(B17,Product_Master!$A$2:$A$22,Product_Master!$B$2:$B$22,"Not found")</f>
        <v/>
      </c>
      <c r="F17" s="33">
        <f>_xlfn.XLOOKUP(B17,Product_Master!$A$2:$A$22,Product_Master!$E$2:$E$22,"Not found")</f>
        <v/>
      </c>
      <c r="G17" s="6">
        <f>IF(AND(C17=E17,D17=F17),"Match","Check")</f>
        <v/>
      </c>
    </row>
    <row r="18">
      <c r="A18" s="34" t="inlineStr">
        <is>
          <t>TEST-01</t>
        </is>
      </c>
      <c r="B18" s="34" t="inlineStr">
        <is>
          <t>FAKE-999</t>
        </is>
      </c>
      <c r="C18" s="24">
        <f>IFERROR(VLOOKUP(B18,Product_Master!$A$2:$E$22,2,FALSE),"Not found")</f>
        <v/>
      </c>
      <c r="D18" s="33">
        <f>IFERROR(VLOOKUP(B18,Product_Master!$A$2:$E$22,5,FALSE),"Not found")</f>
        <v/>
      </c>
      <c r="E18" s="24">
        <f>_xlfn.XLOOKUP(B18,Product_Master!$A$2:$A$22,Product_Master!$B$2:$B$22,"Not found")</f>
        <v/>
      </c>
      <c r="F18" s="33">
        <f>_xlfn.XLOOKUP(B18,Product_Master!$A$2:$A$22,Product_Master!$E$2:$E$22,"Not found")</f>
        <v/>
      </c>
      <c r="G18" s="6">
        <f>IF(AND(C18=E18,D18=F18),"Match","Check")</f>
        <v/>
      </c>
    </row>
    <row r="19">
      <c r="A19" s="35" t="inlineStr">
        <is>
          <t>Row 18 uses an ID that is not in Product_Master (yellow cells are inputs). Both functions return "Not found" instead of an error.</t>
        </is>
      </c>
    </row>
    <row r="21">
      <c r="A21" s="2" t="inlineStr">
        <is>
          <t>Part B: Reverse lookup, finding Product ID from Product Name</t>
        </is>
      </c>
    </row>
    <row r="22">
      <c r="A22" s="15" t="inlineStr">
        <is>
          <t>Product name (input):</t>
        </is>
      </c>
      <c r="C22" s="36" t="inlineStr">
        <is>
          <t>Ergonomic Mesh Chair</t>
        </is>
      </c>
    </row>
    <row r="24" ht="32" customHeight="1">
      <c r="A24" s="4" t="inlineStr">
        <is>
          <t>Method</t>
        </is>
      </c>
      <c r="B24" s="4" t="inlineStr">
        <is>
          <t>Product ID returned</t>
        </is>
      </c>
      <c r="C24" s="4" t="inlineStr">
        <is>
          <t>Notes</t>
        </is>
      </c>
      <c r="D24" s="37" t="n"/>
      <c r="E24" s="37" t="n"/>
      <c r="F24" s="37" t="n"/>
      <c r="G24" s="38" t="n"/>
    </row>
    <row r="25" ht="30" customHeight="1">
      <c r="A25" s="5" t="inlineStr">
        <is>
          <t>VLOOKUP</t>
        </is>
      </c>
      <c r="B25" s="6" t="inlineStr">
        <is>
          <t>Not possible</t>
        </is>
      </c>
      <c r="C25" s="7" t="inlineStr">
        <is>
          <t>VLOOKUP only returns columns to the right of the lookup column. Product ID sits to the left of Product Name, so VLOOKUP cannot return it.</t>
        </is>
      </c>
      <c r="D25" s="37" t="n"/>
      <c r="E25" s="37" t="n"/>
      <c r="F25" s="37" t="n"/>
      <c r="G25" s="38" t="n"/>
    </row>
    <row r="26" ht="30" customHeight="1">
      <c r="A26" s="5" t="inlineStr">
        <is>
          <t>INDEX/MATCH</t>
        </is>
      </c>
      <c r="B26" s="6">
        <f>IFERROR(INDEX(Product_Master!$A$2:$A$22,MATCH($C$22,Product_Master!$B$2:$B$22,0)),"Not found")</f>
        <v/>
      </c>
      <c r="C26" s="7" t="inlineStr">
        <is>
          <t>Works around the VLOOKUP limit, but needs two functions.</t>
        </is>
      </c>
      <c r="D26" s="37" t="n"/>
      <c r="E26" s="37" t="n"/>
      <c r="F26" s="37" t="n"/>
      <c r="G26" s="38" t="n"/>
    </row>
    <row r="27" ht="30" customHeight="1">
      <c r="A27" s="5" t="inlineStr">
        <is>
          <t>XLOOKUP</t>
        </is>
      </c>
      <c r="B27" s="6">
        <f>_xlfn.XLOOKUP($C$22,Product_Master!$B$2:$B$22,Product_Master!$A$2:$A$22,"Not found")</f>
        <v/>
      </c>
      <c r="C27" s="7" t="inlineStr">
        <is>
          <t>One function. It returns the column to the left directly.</t>
        </is>
      </c>
      <c r="D27" s="37" t="n"/>
      <c r="E27" s="37" t="n"/>
      <c r="F27" s="37" t="n"/>
      <c r="G27" s="38" t="n"/>
    </row>
    <row r="29">
      <c r="A29" s="2" t="inlineStr">
        <is>
          <t>Part C: VLOOKUP vs XLOOKUP at a glance</t>
        </is>
      </c>
    </row>
    <row r="30" ht="22" customHeight="1">
      <c r="A30" s="4" t="inlineStr">
        <is>
          <t>Feature</t>
        </is>
      </c>
      <c r="B30" s="4" t="inlineStr">
        <is>
          <t>VLOOKUP</t>
        </is>
      </c>
      <c r="C30" s="37" t="n"/>
      <c r="D30" s="38" t="n"/>
      <c r="E30" s="4" t="inlineStr">
        <is>
          <t>XLOOKUP</t>
        </is>
      </c>
      <c r="F30" s="37" t="n"/>
      <c r="G30" s="38" t="n"/>
    </row>
    <row r="31" ht="36" customHeight="1">
      <c r="A31" s="39" t="inlineStr">
        <is>
          <t>Syntax</t>
        </is>
      </c>
      <c r="B31" s="7" t="inlineStr">
        <is>
          <t>VLOOKUP(lookup, table, col_index, [range_lookup])</t>
        </is>
      </c>
      <c r="C31" s="37" t="n"/>
      <c r="D31" s="38" t="n"/>
      <c r="E31" s="7" t="inlineStr">
        <is>
          <t>XLOOKUP(lookup, lookup_array, return_array, [if_not_found], ...)</t>
        </is>
      </c>
      <c r="F31" s="37" t="n"/>
      <c r="G31" s="38" t="n"/>
    </row>
    <row r="32" ht="36" customHeight="1">
      <c r="A32" s="39" t="inlineStr">
        <is>
          <t>Direction</t>
        </is>
      </c>
      <c r="B32" s="7" t="inlineStr">
        <is>
          <t>Returns only columns to the right of the key column</t>
        </is>
      </c>
      <c r="C32" s="37" t="n"/>
      <c r="D32" s="38" t="n"/>
      <c r="E32" s="7" t="inlineStr">
        <is>
          <t>Returns any column, to the left or to the right</t>
        </is>
      </c>
      <c r="F32" s="37" t="n"/>
      <c r="G32" s="38" t="n"/>
    </row>
    <row r="33" ht="36" customHeight="1">
      <c r="A33" s="39" t="inlineStr">
        <is>
          <t>Column reference</t>
        </is>
      </c>
      <c r="B33" s="7" t="inlineStr">
        <is>
          <t>A column number (2, 5, ...) that breaks if columns are inserted</t>
        </is>
      </c>
      <c r="C33" s="37" t="n"/>
      <c r="D33" s="38" t="n"/>
      <c r="E33" s="7" t="inlineStr">
        <is>
          <t>A direct range reference, so no counting is needed</t>
        </is>
      </c>
      <c r="F33" s="37" t="n"/>
      <c r="G33" s="38" t="n"/>
    </row>
    <row r="34" ht="36" customHeight="1">
      <c r="A34" s="39" t="inlineStr">
        <is>
          <t>Default match</t>
        </is>
      </c>
      <c r="B34" s="7" t="inlineStr">
        <is>
          <t>Approximate match if range_lookup is left out (a common source of errors)</t>
        </is>
      </c>
      <c r="C34" s="37" t="n"/>
      <c r="D34" s="38" t="n"/>
      <c r="E34" s="7" t="inlineStr">
        <is>
          <t>Exact match by default</t>
        </is>
      </c>
      <c r="F34" s="37" t="n"/>
      <c r="G34" s="38" t="n"/>
    </row>
    <row r="35" ht="36" customHeight="1">
      <c r="A35" s="39" t="inlineStr">
        <is>
          <t>Missing value</t>
        </is>
      </c>
      <c r="B35" s="7" t="inlineStr">
        <is>
          <t>Shows an N/A error unless wrapped in IFERROR</t>
        </is>
      </c>
      <c r="C35" s="37" t="n"/>
      <c r="D35" s="38" t="n"/>
      <c r="E35" s="7" t="inlineStr">
        <is>
          <t>Built-in if_not_found argument</t>
        </is>
      </c>
      <c r="F35" s="37" t="n"/>
      <c r="G35" s="38" t="n"/>
    </row>
    <row r="36" ht="36" customHeight="1">
      <c r="A36" s="39" t="inlineStr">
        <is>
          <t>Availability</t>
        </is>
      </c>
      <c r="B36" s="7" t="inlineStr">
        <is>
          <t>Every Excel version</t>
        </is>
      </c>
      <c r="C36" s="37" t="n"/>
      <c r="D36" s="38" t="n"/>
      <c r="E36" s="7" t="inlineStr">
        <is>
          <t>Excel 2021, Excel 365 and Google Sheets</t>
        </is>
      </c>
      <c r="F36" s="37" t="n"/>
      <c r="G36" s="38" t="n"/>
    </row>
  </sheetData>
  <mergeCells count="18">
    <mergeCell ref="B33:D33"/>
    <mergeCell ref="E32:G32"/>
    <mergeCell ref="B36:D36"/>
    <mergeCell ref="E33:G33"/>
    <mergeCell ref="B34:D34"/>
    <mergeCell ref="B31:D31"/>
    <mergeCell ref="E36:G36"/>
    <mergeCell ref="C24:G24"/>
    <mergeCell ref="B32:D32"/>
    <mergeCell ref="E31:G31"/>
    <mergeCell ref="C25:G25"/>
    <mergeCell ref="B35:D35"/>
    <mergeCell ref="C27:G27"/>
    <mergeCell ref="E34:G34"/>
    <mergeCell ref="E35:G35"/>
    <mergeCell ref="B30:D30"/>
    <mergeCell ref="E30:G30"/>
    <mergeCell ref="C26:G26"/>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G22"/>
  <sheetViews>
    <sheetView workbookViewId="0">
      <selection activeCell="A1" sqref="A1"/>
    </sheetView>
  </sheetViews>
  <sheetFormatPr baseColWidth="8" defaultRowHeight="15"/>
  <cols>
    <col width="1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Task 9: Pivot Table and Chart</t>
        </is>
      </c>
    </row>
    <row r="2">
      <c r="A2" s="17" t="inlineStr">
        <is>
          <t>Source: Sales_Data. Tables below use SUMIFS and SUMIF formulas, so they update when the data changes.</t>
        </is>
      </c>
    </row>
    <row r="4">
      <c r="A4" s="2" t="inlineStr">
        <is>
          <t>Table 1: Sales by Category and Region (pivot-style summary)</t>
        </is>
      </c>
    </row>
    <row r="5" ht="30" customHeight="1">
      <c r="A5" s="4" t="inlineStr">
        <is>
          <t>Category</t>
        </is>
      </c>
      <c r="B5" s="4" t="inlineStr">
        <is>
          <t>Central</t>
        </is>
      </c>
      <c r="C5" s="4" t="inlineStr">
        <is>
          <t>East</t>
        </is>
      </c>
      <c r="D5" s="4" t="inlineStr">
        <is>
          <t>North</t>
        </is>
      </c>
      <c r="E5" s="4" t="inlineStr">
        <is>
          <t>South</t>
        </is>
      </c>
      <c r="F5" s="4" t="inlineStr">
        <is>
          <t>West</t>
        </is>
      </c>
      <c r="G5" s="4" t="inlineStr">
        <is>
          <t>Grand Total</t>
        </is>
      </c>
    </row>
    <row r="6">
      <c r="A6" s="5" t="inlineStr">
        <is>
          <t>Furniture</t>
        </is>
      </c>
      <c r="B6" s="40">
        <f>SUMIFS(Sales_Data!$K$2:$K$121,Sales_Data!$I$2:$I$121,$A6,Sales_Data!$G$2:$G$121,B$5)</f>
        <v/>
      </c>
      <c r="C6" s="40">
        <f>SUMIFS(Sales_Data!$K$2:$K$121,Sales_Data!$I$2:$I$121,$A6,Sales_Data!$G$2:$G$121,C$5)</f>
        <v/>
      </c>
      <c r="D6" s="40">
        <f>SUMIFS(Sales_Data!$K$2:$K$121,Sales_Data!$I$2:$I$121,$A6,Sales_Data!$G$2:$G$121,D$5)</f>
        <v/>
      </c>
      <c r="E6" s="40">
        <f>SUMIFS(Sales_Data!$K$2:$K$121,Sales_Data!$I$2:$I$121,$A6,Sales_Data!$G$2:$G$121,E$5)</f>
        <v/>
      </c>
      <c r="F6" s="40">
        <f>SUMIFS(Sales_Data!$K$2:$K$121,Sales_Data!$I$2:$I$121,$A6,Sales_Data!$G$2:$G$121,F$5)</f>
        <v/>
      </c>
      <c r="G6" s="41">
        <f>SUM(B6:F6)</f>
        <v/>
      </c>
    </row>
    <row r="7">
      <c r="A7" s="5" t="inlineStr">
        <is>
          <t>Office Supplies</t>
        </is>
      </c>
      <c r="B7" s="40">
        <f>SUMIFS(Sales_Data!$K$2:$K$121,Sales_Data!$I$2:$I$121,$A7,Sales_Data!$G$2:$G$121,B$5)</f>
        <v/>
      </c>
      <c r="C7" s="40">
        <f>SUMIFS(Sales_Data!$K$2:$K$121,Sales_Data!$I$2:$I$121,$A7,Sales_Data!$G$2:$G$121,C$5)</f>
        <v/>
      </c>
      <c r="D7" s="40">
        <f>SUMIFS(Sales_Data!$K$2:$K$121,Sales_Data!$I$2:$I$121,$A7,Sales_Data!$G$2:$G$121,D$5)</f>
        <v/>
      </c>
      <c r="E7" s="40">
        <f>SUMIFS(Sales_Data!$K$2:$K$121,Sales_Data!$I$2:$I$121,$A7,Sales_Data!$G$2:$G$121,E$5)</f>
        <v/>
      </c>
      <c r="F7" s="40">
        <f>SUMIFS(Sales_Data!$K$2:$K$121,Sales_Data!$I$2:$I$121,$A7,Sales_Data!$G$2:$G$121,F$5)</f>
        <v/>
      </c>
      <c r="G7" s="41">
        <f>SUM(B7:F7)</f>
        <v/>
      </c>
    </row>
    <row r="8">
      <c r="A8" s="5" t="inlineStr">
        <is>
          <t>Technology</t>
        </is>
      </c>
      <c r="B8" s="40">
        <f>SUMIFS(Sales_Data!$K$2:$K$121,Sales_Data!$I$2:$I$121,$A8,Sales_Data!$G$2:$G$121,B$5)</f>
        <v/>
      </c>
      <c r="C8" s="40">
        <f>SUMIFS(Sales_Data!$K$2:$K$121,Sales_Data!$I$2:$I$121,$A8,Sales_Data!$G$2:$G$121,C$5)</f>
        <v/>
      </c>
      <c r="D8" s="40">
        <f>SUMIFS(Sales_Data!$K$2:$K$121,Sales_Data!$I$2:$I$121,$A8,Sales_Data!$G$2:$G$121,D$5)</f>
        <v/>
      </c>
      <c r="E8" s="40">
        <f>SUMIFS(Sales_Data!$K$2:$K$121,Sales_Data!$I$2:$I$121,$A8,Sales_Data!$G$2:$G$121,E$5)</f>
        <v/>
      </c>
      <c r="F8" s="40">
        <f>SUMIFS(Sales_Data!$K$2:$K$121,Sales_Data!$I$2:$I$121,$A8,Sales_Data!$G$2:$G$121,F$5)</f>
        <v/>
      </c>
      <c r="G8" s="41">
        <f>SUM(B8:F8)</f>
        <v/>
      </c>
    </row>
    <row r="9">
      <c r="A9" s="28" t="inlineStr">
        <is>
          <t>Grand Total</t>
        </is>
      </c>
      <c r="B9" s="42">
        <f>SUM(B6:B8)</f>
        <v/>
      </c>
      <c r="C9" s="42">
        <f>SUM(C6:C8)</f>
        <v/>
      </c>
      <c r="D9" s="42">
        <f>SUM(D6:D8)</f>
        <v/>
      </c>
      <c r="E9" s="42">
        <f>SUM(E6:E8)</f>
        <v/>
      </c>
      <c r="F9" s="42">
        <f>SUM(F6:F8)</f>
        <v/>
      </c>
      <c r="G9" s="42">
        <f>SUM(G6:G8)</f>
        <v/>
      </c>
    </row>
    <row r="11">
      <c r="A11" s="2" t="inlineStr">
        <is>
          <t>Table 2: Sales, profit and profit margin by Category</t>
        </is>
      </c>
    </row>
    <row r="12" ht="30" customHeight="1">
      <c r="A12" s="4" t="inlineStr">
        <is>
          <t>Category</t>
        </is>
      </c>
      <c r="B12" s="4" t="inlineStr">
        <is>
          <t>Total Sales</t>
        </is>
      </c>
      <c r="C12" s="4" t="inlineStr">
        <is>
          <t>Total Profit</t>
        </is>
      </c>
      <c r="D12" s="4" t="inlineStr">
        <is>
          <t>Profit Margin</t>
        </is>
      </c>
    </row>
    <row r="13">
      <c r="A13" s="5" t="inlineStr">
        <is>
          <t>Furniture</t>
        </is>
      </c>
      <c r="B13" s="40">
        <f>SUMIF(Sales_Data!$I$2:$I$121,A13,Sales_Data!$K$2:$K$121)</f>
        <v/>
      </c>
      <c r="C13" s="27">
        <f>SUMIF(Sales_Data!$I$2:$I$121,A13,Sales_Data!$N$2:$N$121)</f>
        <v/>
      </c>
      <c r="D13" s="43">
        <f>IF(B13=0,0,C13/B13)</f>
        <v/>
      </c>
    </row>
    <row r="14">
      <c r="A14" s="5" t="inlineStr">
        <is>
          <t>Office Supplies</t>
        </is>
      </c>
      <c r="B14" s="40">
        <f>SUMIF(Sales_Data!$I$2:$I$121,A14,Sales_Data!$K$2:$K$121)</f>
        <v/>
      </c>
      <c r="C14" s="27">
        <f>SUMIF(Sales_Data!$I$2:$I$121,A14,Sales_Data!$N$2:$N$121)</f>
        <v/>
      </c>
      <c r="D14" s="43">
        <f>IF(B14=0,0,C14/B14)</f>
        <v/>
      </c>
    </row>
    <row r="15">
      <c r="A15" s="5" t="inlineStr">
        <is>
          <t>Technology</t>
        </is>
      </c>
      <c r="B15" s="40">
        <f>SUMIF(Sales_Data!$I$2:$I$121,A15,Sales_Data!$K$2:$K$121)</f>
        <v/>
      </c>
      <c r="C15" s="27">
        <f>SUMIF(Sales_Data!$I$2:$I$121,A15,Sales_Data!$N$2:$N$121)</f>
        <v/>
      </c>
      <c r="D15" s="43">
        <f>IF(B15=0,0,C15/B15)</f>
        <v/>
      </c>
    </row>
    <row r="16">
      <c r="A16" s="28" t="inlineStr">
        <is>
          <t>Total</t>
        </is>
      </c>
      <c r="B16" s="42">
        <f>SUM(B13:B15)</f>
        <v/>
      </c>
      <c r="C16" s="31">
        <f>SUM(C13:C15)</f>
        <v/>
      </c>
      <c r="D16" s="44">
        <f>IF(B16=0,0,C16/B16)</f>
        <v/>
      </c>
    </row>
    <row r="18">
      <c r="A18" s="2" t="inlineStr">
        <is>
          <t>Chart explanation</t>
        </is>
      </c>
    </row>
    <row r="19" ht="120" customHeight="1">
      <c r="A19" s="45" t="inlineStr">
        <is>
          <t>The clustered column chart compares sales for each category across the five regions. Technology has the largest bars in Central, East and West, with Central the highest at about $21,109. Furniture leads in North and South, and its biggest region is West at about $9,074. Office Supplies is the smallest category in every region. The chart measures sales volume only. Table 2 shows that Furniture lost money overall (margin about -1.3%), while Office Supplies earned about 14.4% and Technology about 8.5%. In dollar terms Technology is also the most profitable category, but its margin is below Office Supplies, and Furniture loses money overall even though it leads sales in North and South.</t>
        </is>
      </c>
    </row>
    <row r="21">
      <c r="A21" s="2" t="inlineStr">
        <is>
          <t>How to make a native PivotTable in Excel (optional, takes about one minute)</t>
        </is>
      </c>
    </row>
    <row r="22" ht="48" customHeight="1">
      <c r="A22" s="45" t="inlineStr">
        <is>
          <t>Click any cell in Sales_Data, then go to Insert &gt; PivotTable and choose OK. Drag Category into Rows, Region into Columns, and Sales into Values (Sum). Table 1 above shows the same figures.</t>
        </is>
      </c>
    </row>
  </sheetData>
  <mergeCells count="2">
    <mergeCell ref="A19:G19"/>
    <mergeCell ref="A22:G22"/>
  </mergeCell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8" customWidth="1" min="3" max="3"/>
    <col width="16" customWidth="1" min="4" max="4"/>
    <col width="14" customWidth="1" min="5" max="5"/>
  </cols>
  <sheetData>
    <row r="1" ht="30" customHeight="1">
      <c r="A1" s="4" t="inlineStr">
        <is>
          <t>Product ID</t>
        </is>
      </c>
      <c r="B1" s="4" t="inlineStr">
        <is>
          <t>Product Name</t>
        </is>
      </c>
      <c r="C1" s="4" t="inlineStr">
        <is>
          <t>Category</t>
        </is>
      </c>
      <c r="D1" s="4" t="inlineStr">
        <is>
          <t>Sub-Category</t>
        </is>
      </c>
      <c r="E1" s="4" t="inlineStr">
        <is>
          <t>Unit Price</t>
        </is>
      </c>
    </row>
    <row r="2">
      <c r="A2" s="9" t="inlineStr">
        <is>
          <t>FUR-CH-01</t>
        </is>
      </c>
      <c r="B2" s="9" t="inlineStr">
        <is>
          <t>Executive Leather Armchair</t>
        </is>
      </c>
      <c r="C2" s="9" t="inlineStr">
        <is>
          <t>Furniture</t>
        </is>
      </c>
      <c r="D2" s="9" t="inlineStr">
        <is>
          <t>Chairs</t>
        </is>
      </c>
      <c r="E2" s="11" t="n">
        <v>645</v>
      </c>
    </row>
    <row r="3">
      <c r="A3" s="9" t="inlineStr">
        <is>
          <t>FUR-CH-02</t>
        </is>
      </c>
      <c r="B3" s="9" t="inlineStr">
        <is>
          <t>Ergonomic Mesh Chair</t>
        </is>
      </c>
      <c r="C3" s="9" t="inlineStr">
        <is>
          <t>Furniture</t>
        </is>
      </c>
      <c r="D3" s="9" t="inlineStr">
        <is>
          <t>Chairs</t>
        </is>
      </c>
      <c r="E3" s="11" t="n">
        <v>389.99</v>
      </c>
    </row>
    <row r="4">
      <c r="A4" s="9" t="inlineStr">
        <is>
          <t>FUR-CH-03</t>
        </is>
      </c>
      <c r="B4" s="9" t="inlineStr">
        <is>
          <t>Stackable Guest Chair</t>
        </is>
      </c>
      <c r="C4" s="9" t="inlineStr">
        <is>
          <t>Furniture</t>
        </is>
      </c>
      <c r="D4" s="9" t="inlineStr">
        <is>
          <t>Chairs</t>
        </is>
      </c>
      <c r="E4" s="11" t="n">
        <v>129.5</v>
      </c>
    </row>
    <row r="5">
      <c r="A5" s="9" t="inlineStr">
        <is>
          <t>FUR-TB-01</t>
        </is>
      </c>
      <c r="B5" s="9" t="inlineStr">
        <is>
          <t>Conference Table 8-Seater</t>
        </is>
      </c>
      <c r="C5" s="9" t="inlineStr">
        <is>
          <t>Furniture</t>
        </is>
      </c>
      <c r="D5" s="9" t="inlineStr">
        <is>
          <t>Tables</t>
        </is>
      </c>
      <c r="E5" s="11" t="n">
        <v>1180</v>
      </c>
    </row>
    <row r="6">
      <c r="A6" s="9" t="inlineStr">
        <is>
          <t>FUR-TB-02</t>
        </is>
      </c>
      <c r="B6" s="9" t="inlineStr">
        <is>
          <t>Adjustable Standing Desk</t>
        </is>
      </c>
      <c r="C6" s="9" t="inlineStr">
        <is>
          <t>Furniture</t>
        </is>
      </c>
      <c r="D6" s="9" t="inlineStr">
        <is>
          <t>Tables</t>
        </is>
      </c>
      <c r="E6" s="11" t="n">
        <v>520</v>
      </c>
    </row>
    <row r="7">
      <c r="A7" s="9" t="inlineStr">
        <is>
          <t>FUR-BK-01</t>
        </is>
      </c>
      <c r="B7" s="9" t="inlineStr">
        <is>
          <t>Five-Shelf Bookcase</t>
        </is>
      </c>
      <c r="C7" s="9" t="inlineStr">
        <is>
          <t>Furniture</t>
        </is>
      </c>
      <c r="D7" s="9" t="inlineStr">
        <is>
          <t>Bookcases</t>
        </is>
      </c>
      <c r="E7" s="11" t="n">
        <v>210</v>
      </c>
    </row>
    <row r="8">
      <c r="A8" s="9" t="inlineStr">
        <is>
          <t>FUR-BK-02</t>
        </is>
      </c>
      <c r="B8" s="9" t="inlineStr">
        <is>
          <t>Glass-Door Cabinet</t>
        </is>
      </c>
      <c r="C8" s="9" t="inlineStr">
        <is>
          <t>Furniture</t>
        </is>
      </c>
      <c r="D8" s="9" t="inlineStr">
        <is>
          <t>Bookcases</t>
        </is>
      </c>
      <c r="E8" s="11" t="n">
        <v>365</v>
      </c>
    </row>
    <row r="9">
      <c r="A9" s="9" t="inlineStr">
        <is>
          <t>FUR-FN-01</t>
        </is>
      </c>
      <c r="B9" s="9" t="inlineStr">
        <is>
          <t>Desk Lamp with Clamp</t>
        </is>
      </c>
      <c r="C9" s="9" t="inlineStr">
        <is>
          <t>Furniture</t>
        </is>
      </c>
      <c r="D9" s="9" t="inlineStr">
        <is>
          <t>Furnishings</t>
        </is>
      </c>
      <c r="E9" s="11" t="n">
        <v>48.75</v>
      </c>
    </row>
    <row r="10">
      <c r="A10" s="9" t="inlineStr">
        <is>
          <t>FUR-FN-02</t>
        </is>
      </c>
      <c r="B10" s="9" t="inlineStr">
        <is>
          <t>Wall Clock 12-inch</t>
        </is>
      </c>
      <c r="C10" s="9" t="inlineStr">
        <is>
          <t>Furniture</t>
        </is>
      </c>
      <c r="D10" s="9" t="inlineStr">
        <is>
          <t>Furnishings</t>
        </is>
      </c>
      <c r="E10" s="11" t="n">
        <v>24.99</v>
      </c>
    </row>
    <row r="11">
      <c r="A11" s="9" t="inlineStr">
        <is>
          <t>OFS-BI-01</t>
        </is>
      </c>
      <c r="B11" s="9" t="inlineStr">
        <is>
          <t>Heavy-Duty Ring Binder</t>
        </is>
      </c>
      <c r="C11" s="9" t="inlineStr">
        <is>
          <t>Office Supplies</t>
        </is>
      </c>
      <c r="D11" s="9" t="inlineStr">
        <is>
          <t>Binders</t>
        </is>
      </c>
      <c r="E11" s="11" t="n">
        <v>11.4</v>
      </c>
    </row>
    <row r="12">
      <c r="A12" s="9" t="inlineStr">
        <is>
          <t>OFS-BI-02</t>
        </is>
      </c>
      <c r="B12" s="9" t="inlineStr">
        <is>
          <t>Clear Presentation Binder</t>
        </is>
      </c>
      <c r="C12" s="9" t="inlineStr">
        <is>
          <t>Office Supplies</t>
        </is>
      </c>
      <c r="D12" s="9" t="inlineStr">
        <is>
          <t>Binders</t>
        </is>
      </c>
      <c r="E12" s="11" t="n">
        <v>6.85</v>
      </c>
    </row>
    <row r="13">
      <c r="A13" s="9" t="inlineStr">
        <is>
          <t>OFS-PA-01</t>
        </is>
      </c>
      <c r="B13" s="9" t="inlineStr">
        <is>
          <t>Copier Paper A4 (Ream)</t>
        </is>
      </c>
      <c r="C13" s="9" t="inlineStr">
        <is>
          <t>Office Supplies</t>
        </is>
      </c>
      <c r="D13" s="9" t="inlineStr">
        <is>
          <t>Paper</t>
        </is>
      </c>
      <c r="E13" s="11" t="n">
        <v>9.6</v>
      </c>
    </row>
    <row r="14">
      <c r="A14" s="9" t="inlineStr">
        <is>
          <t>OFS-PA-02</t>
        </is>
      </c>
      <c r="B14" s="9" t="inlineStr">
        <is>
          <t>Recycled Letter Paper</t>
        </is>
      </c>
      <c r="C14" s="9" t="inlineStr">
        <is>
          <t>Office Supplies</t>
        </is>
      </c>
      <c r="D14" s="9" t="inlineStr">
        <is>
          <t>Paper</t>
        </is>
      </c>
      <c r="E14" s="11" t="n">
        <v>7.25</v>
      </c>
    </row>
    <row r="15">
      <c r="A15" s="9" t="inlineStr">
        <is>
          <t>OFS-ST-01</t>
        </is>
      </c>
      <c r="B15" s="9" t="inlineStr">
        <is>
          <t>Lockable Filing Cabinet</t>
        </is>
      </c>
      <c r="C15" s="9" t="inlineStr">
        <is>
          <t>Office Supplies</t>
        </is>
      </c>
      <c r="D15" s="9" t="inlineStr">
        <is>
          <t>Storage</t>
        </is>
      </c>
      <c r="E15" s="11" t="n">
        <v>142</v>
      </c>
    </row>
    <row r="16">
      <c r="A16" s="9" t="inlineStr">
        <is>
          <t>OFS-ST-02</t>
        </is>
      </c>
      <c r="B16" s="9" t="inlineStr">
        <is>
          <t>Plastic Storage Bins (Set of 4)</t>
        </is>
      </c>
      <c r="C16" s="9" t="inlineStr">
        <is>
          <t>Office Supplies</t>
        </is>
      </c>
      <c r="D16" s="9" t="inlineStr">
        <is>
          <t>Storage</t>
        </is>
      </c>
      <c r="E16" s="11" t="n">
        <v>38.2</v>
      </c>
    </row>
    <row r="17">
      <c r="A17" s="9" t="inlineStr">
        <is>
          <t>OFS-AR-01</t>
        </is>
      </c>
      <c r="B17" s="9" t="inlineStr">
        <is>
          <t>Gel Pen Set (12-pack)</t>
        </is>
      </c>
      <c r="C17" s="9" t="inlineStr">
        <is>
          <t>Office Supplies</t>
        </is>
      </c>
      <c r="D17" s="9" t="inlineStr">
        <is>
          <t>Art</t>
        </is>
      </c>
      <c r="E17" s="11" t="n">
        <v>14.3</v>
      </c>
    </row>
    <row r="18">
      <c r="A18" s="9" t="inlineStr">
        <is>
          <t>TEC-PH-01</t>
        </is>
      </c>
      <c r="B18" s="9" t="inlineStr">
        <is>
          <t>Smartphone 64GB</t>
        </is>
      </c>
      <c r="C18" s="9" t="inlineStr">
        <is>
          <t>Technology</t>
        </is>
      </c>
      <c r="D18" s="9" t="inlineStr">
        <is>
          <t>Phones</t>
        </is>
      </c>
      <c r="E18" s="11" t="n">
        <v>649</v>
      </c>
    </row>
    <row r="19">
      <c r="A19" s="9" t="inlineStr">
        <is>
          <t>TEC-PH-02</t>
        </is>
      </c>
      <c r="B19" s="9" t="inlineStr">
        <is>
          <t>Desk Telephone with Caller ID</t>
        </is>
      </c>
      <c r="C19" s="9" t="inlineStr">
        <is>
          <t>Technology</t>
        </is>
      </c>
      <c r="D19" s="9" t="inlineStr">
        <is>
          <t>Phones</t>
        </is>
      </c>
      <c r="E19" s="11" t="n">
        <v>129.99</v>
      </c>
    </row>
    <row r="20">
      <c r="A20" s="9" t="inlineStr">
        <is>
          <t>TEC-AC-01</t>
        </is>
      </c>
      <c r="B20" s="9" t="inlineStr">
        <is>
          <t>Wireless Keyboard and Mouse</t>
        </is>
      </c>
      <c r="C20" s="9" t="inlineStr">
        <is>
          <t>Technology</t>
        </is>
      </c>
      <c r="D20" s="9" t="inlineStr">
        <is>
          <t>Accessories</t>
        </is>
      </c>
      <c r="E20" s="11" t="n">
        <v>44.99</v>
      </c>
    </row>
    <row r="21">
      <c r="A21" s="9" t="inlineStr">
        <is>
          <t>TEC-AC-02</t>
        </is>
      </c>
      <c r="B21" s="9" t="inlineStr">
        <is>
          <t>USB-C Docking Station</t>
        </is>
      </c>
      <c r="C21" s="9" t="inlineStr">
        <is>
          <t>Technology</t>
        </is>
      </c>
      <c r="D21" s="9" t="inlineStr">
        <is>
          <t>Accessories</t>
        </is>
      </c>
      <c r="E21" s="11" t="n">
        <v>189</v>
      </c>
    </row>
    <row r="22">
      <c r="A22" s="9" t="inlineStr">
        <is>
          <t>TEC-MA-01</t>
        </is>
      </c>
      <c r="B22" s="9" t="inlineStr">
        <is>
          <t>Multifunction Laser Printer</t>
        </is>
      </c>
      <c r="C22" s="9" t="inlineStr">
        <is>
          <t>Technology</t>
        </is>
      </c>
      <c r="D22" s="9" t="inlineStr">
        <is>
          <t>Machines</t>
        </is>
      </c>
      <c r="E22" s="11" t="n">
        <v>899</v>
      </c>
    </row>
    <row r="24">
      <c r="A24" s="35" t="inlineStr">
        <is>
          <t>Note: Unit Price is the list price per unit (sample values set for this workbook). Product ID in column A is the lookup key used by VLOOKUP and XLOOKUP on T8.</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Excel Assignment: Tasks 6 to 9</dc:title>
  <dcterms:created xmlns:dcterms="http://purl.org/dc/terms/" xmlns:xsi="http://www.w3.org/2001/XMLSchema-instance" xsi:type="dcterms:W3CDTF">2026-10-03T08:20:43Z</dcterms:created>
  <dcterms:modified xmlns:dcterms="http://purl.org/dc/terms/" xmlns:xsi="http://www.w3.org/2001/XMLSchema-instance" xsi:type="dcterms:W3CDTF">2026-10-03T08:20:44Z</dcterms:modified>
</cp:coreProperties>
</file>